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FDF7C10E-A1B0-412C-9E1F-9672BF2F60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hicles" sheetId="1" r:id="rId1"/>
    <sheet name="Registrations" sheetId="12" r:id="rId2"/>
    <sheet name="EoL" sheetId="13" r:id="rId3"/>
    <sheet name="Recycling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28" i="1" l="1"/>
  <c r="BK27" i="1"/>
  <c r="BE27" i="1" s="1"/>
  <c r="BK20" i="1"/>
  <c r="AR20" i="1" s="1"/>
  <c r="BK19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AH26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AH18" i="1"/>
  <c r="N26" i="1"/>
  <c r="C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L26" i="1"/>
  <c r="K26" i="1"/>
  <c r="J26" i="1"/>
  <c r="I26" i="1"/>
  <c r="H26" i="1"/>
  <c r="G26" i="1"/>
  <c r="F26" i="1"/>
  <c r="E26" i="1"/>
  <c r="D26" i="1"/>
  <c r="C18" i="1"/>
  <c r="D18" i="1"/>
  <c r="E18" i="1"/>
  <c r="F18" i="1"/>
  <c r="G18" i="1"/>
  <c r="H18" i="1"/>
  <c r="I18" i="1"/>
  <c r="J18" i="1"/>
  <c r="K18" i="1"/>
  <c r="L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N18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I28" i="1"/>
  <c r="BJ28" i="1"/>
  <c r="BH28" i="1"/>
  <c r="BC28" i="1"/>
  <c r="BB28" i="1"/>
  <c r="AZ28" i="1"/>
  <c r="AU28" i="1"/>
  <c r="AT28" i="1"/>
  <c r="AR28" i="1"/>
  <c r="AM28" i="1"/>
  <c r="AL28" i="1"/>
  <c r="AJ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F27" i="1"/>
  <c r="BD27" i="1"/>
  <c r="BC27" i="1"/>
  <c r="BB27" i="1"/>
  <c r="AV27" i="1"/>
  <c r="AU27" i="1"/>
  <c r="AT27" i="1"/>
  <c r="AS27" i="1"/>
  <c r="AM27" i="1"/>
  <c r="AL27" i="1"/>
  <c r="AK27" i="1"/>
  <c r="AJ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K22" i="1"/>
  <c r="BI22" i="1" s="1"/>
  <c r="BJ22" i="1"/>
  <c r="BH22" i="1"/>
  <c r="BC22" i="1"/>
  <c r="BB22" i="1"/>
  <c r="AZ22" i="1"/>
  <c r="AU22" i="1"/>
  <c r="AT22" i="1"/>
  <c r="AR22" i="1"/>
  <c r="AM22" i="1"/>
  <c r="AL22" i="1"/>
  <c r="AJ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K21" i="1"/>
  <c r="BE21" i="1" s="1"/>
  <c r="BH21" i="1"/>
  <c r="BG21" i="1"/>
  <c r="BF21" i="1"/>
  <c r="BD21" i="1"/>
  <c r="BC21" i="1"/>
  <c r="AZ21" i="1"/>
  <c r="AY21" i="1"/>
  <c r="AX21" i="1"/>
  <c r="AV21" i="1"/>
  <c r="AU21" i="1"/>
  <c r="AT21" i="1"/>
  <c r="AR21" i="1"/>
  <c r="AQ21" i="1"/>
  <c r="AP21" i="1"/>
  <c r="AN21" i="1"/>
  <c r="AM21" i="1"/>
  <c r="AL21" i="1"/>
  <c r="AJ21" i="1"/>
  <c r="AI21" i="1"/>
  <c r="AH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E19" i="1"/>
  <c r="BH19" i="1"/>
  <c r="BG19" i="1"/>
  <c r="BF19" i="1"/>
  <c r="BD19" i="1"/>
  <c r="BC19" i="1"/>
  <c r="AZ19" i="1"/>
  <c r="AY19" i="1"/>
  <c r="AX19" i="1"/>
  <c r="AV19" i="1"/>
  <c r="AU19" i="1"/>
  <c r="AR19" i="1"/>
  <c r="AQ19" i="1"/>
  <c r="AP19" i="1"/>
  <c r="AN19" i="1"/>
  <c r="AM19" i="1"/>
  <c r="AJ19" i="1"/>
  <c r="AI19" i="1"/>
  <c r="AH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N27" i="1" l="1"/>
  <c r="AX27" i="1"/>
  <c r="BG27" i="1"/>
  <c r="AP27" i="1"/>
  <c r="AY27" i="1"/>
  <c r="BH27" i="1"/>
  <c r="AH27" i="1"/>
  <c r="AQ27" i="1"/>
  <c r="AZ27" i="1"/>
  <c r="BI27" i="1"/>
  <c r="AI27" i="1"/>
  <c r="AR27" i="1"/>
  <c r="BA27" i="1"/>
  <c r="AL20" i="1"/>
  <c r="AT20" i="1"/>
  <c r="AZ20" i="1"/>
  <c r="BC20" i="1"/>
  <c r="AM20" i="1"/>
  <c r="AJ20" i="1"/>
  <c r="BB20" i="1"/>
  <c r="BH20" i="1"/>
  <c r="BJ20" i="1"/>
  <c r="AU20" i="1"/>
  <c r="AN20" i="1"/>
  <c r="AN22" i="1"/>
  <c r="AV22" i="1"/>
  <c r="AN28" i="1"/>
  <c r="AV28" i="1"/>
  <c r="BD28" i="1"/>
  <c r="AV20" i="1"/>
  <c r="AK19" i="1"/>
  <c r="AS19" i="1"/>
  <c r="BA19" i="1"/>
  <c r="BI19" i="1"/>
  <c r="AO20" i="1"/>
  <c r="AW20" i="1"/>
  <c r="BE20" i="1"/>
  <c r="AK21" i="1"/>
  <c r="AS21" i="1"/>
  <c r="BA21" i="1"/>
  <c r="BI21" i="1"/>
  <c r="AO22" i="1"/>
  <c r="AW22" i="1"/>
  <c r="BE22" i="1"/>
  <c r="AO28" i="1"/>
  <c r="AW28" i="1"/>
  <c r="BE28" i="1"/>
  <c r="BD20" i="1"/>
  <c r="AL19" i="1"/>
  <c r="AT19" i="1"/>
  <c r="BB19" i="1"/>
  <c r="BJ19" i="1"/>
  <c r="AH20" i="1"/>
  <c r="AP20" i="1"/>
  <c r="AX20" i="1"/>
  <c r="BF20" i="1"/>
  <c r="BB21" i="1"/>
  <c r="BJ21" i="1"/>
  <c r="AH22" i="1"/>
  <c r="AP22" i="1"/>
  <c r="AX22" i="1"/>
  <c r="BF22" i="1"/>
  <c r="BJ27" i="1"/>
  <c r="AH28" i="1"/>
  <c r="AP28" i="1"/>
  <c r="AX28" i="1"/>
  <c r="BF28" i="1"/>
  <c r="BD22" i="1"/>
  <c r="AI20" i="1"/>
  <c r="AQ20" i="1"/>
  <c r="AY20" i="1"/>
  <c r="BG20" i="1"/>
  <c r="AI22" i="1"/>
  <c r="AQ22" i="1"/>
  <c r="AY22" i="1"/>
  <c r="BG22" i="1"/>
  <c r="AI28" i="1"/>
  <c r="AQ28" i="1"/>
  <c r="AY28" i="1"/>
  <c r="BG28" i="1"/>
  <c r="AO19" i="1"/>
  <c r="AW19" i="1"/>
  <c r="AK20" i="1"/>
  <c r="AS20" i="1"/>
  <c r="BA20" i="1"/>
  <c r="BI20" i="1"/>
  <c r="AO21" i="1"/>
  <c r="AW21" i="1"/>
  <c r="AK22" i="1"/>
  <c r="AS22" i="1"/>
  <c r="BA22" i="1"/>
  <c r="AO27" i="1"/>
  <c r="AW27" i="1"/>
  <c r="AK28" i="1"/>
  <c r="AS28" i="1"/>
  <c r="BA28" i="1"/>
  <c r="AS21" i="12" l="1"/>
  <c r="AK20" i="12"/>
  <c r="AV10" i="12"/>
  <c r="AL10" i="12"/>
  <c r="AM10" i="12"/>
  <c r="AN10" i="12"/>
  <c r="AO10" i="12"/>
  <c r="AP10" i="12"/>
  <c r="AQ10" i="12"/>
  <c r="AR10" i="12"/>
  <c r="AS10" i="12"/>
  <c r="AT10" i="12"/>
  <c r="AU10" i="12"/>
  <c r="AK10" i="12"/>
  <c r="AU9" i="12"/>
  <c r="AL9" i="12"/>
  <c r="AM9" i="12"/>
  <c r="AN9" i="12"/>
  <c r="AO9" i="12"/>
  <c r="AP9" i="12"/>
  <c r="AQ9" i="12"/>
  <c r="AR9" i="12"/>
  <c r="AS9" i="12"/>
  <c r="AT9" i="12"/>
  <c r="AK9" i="12"/>
  <c r="AT22" i="12"/>
  <c r="AL20" i="12"/>
  <c r="AM20" i="12"/>
  <c r="AM22" i="12" s="1"/>
  <c r="AN20" i="12"/>
  <c r="AN22" i="12" s="1"/>
  <c r="AO20" i="12"/>
  <c r="AP20" i="12"/>
  <c r="AQ20" i="12"/>
  <c r="AR20" i="12"/>
  <c r="AR22" i="12" s="1"/>
  <c r="AS20" i="12"/>
  <c r="AT20" i="12"/>
  <c r="AU20" i="12"/>
  <c r="AU22" i="12" s="1"/>
  <c r="AL21" i="12"/>
  <c r="AM21" i="12"/>
  <c r="AN21" i="12"/>
  <c r="AO21" i="12"/>
  <c r="AO22" i="12" s="1"/>
  <c r="AP21" i="12"/>
  <c r="AP22" i="12" s="1"/>
  <c r="AQ21" i="12"/>
  <c r="AR21" i="12"/>
  <c r="AT21" i="12"/>
  <c r="AU21" i="12"/>
  <c r="AA22" i="12"/>
  <c r="AB22" i="12"/>
  <c r="AC22" i="12"/>
  <c r="AD22" i="12"/>
  <c r="AE22" i="12"/>
  <c r="AF22" i="12"/>
  <c r="AG22" i="12"/>
  <c r="AH22" i="12"/>
  <c r="AI22" i="12"/>
  <c r="AJ22" i="12"/>
  <c r="AK22" i="12"/>
  <c r="AV22" i="12"/>
  <c r="Z22" i="12"/>
  <c r="AK21" i="12"/>
  <c r="C5" i="14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AG5" i="14" s="1"/>
  <c r="AH5" i="14" s="1"/>
  <c r="AI5" i="14" s="1"/>
  <c r="AJ5" i="14" s="1"/>
  <c r="AK5" i="14" s="1"/>
  <c r="AL5" i="14" s="1"/>
  <c r="AM5" i="14" s="1"/>
  <c r="AN5" i="14" s="1"/>
  <c r="AO5" i="14" s="1"/>
  <c r="AP5" i="14" s="1"/>
  <c r="AQ5" i="14" s="1"/>
  <c r="AR5" i="14" s="1"/>
  <c r="AS5" i="14" s="1"/>
  <c r="AT5" i="14" s="1"/>
  <c r="AU5" i="14" s="1"/>
  <c r="AV5" i="14" s="1"/>
  <c r="AW5" i="14" s="1"/>
  <c r="AX5" i="14" s="1"/>
  <c r="AY5" i="14" s="1"/>
  <c r="AZ5" i="14" s="1"/>
  <c r="BA5" i="14" s="1"/>
  <c r="BB5" i="14" s="1"/>
  <c r="BC5" i="14" s="1"/>
  <c r="BD5" i="14" s="1"/>
  <c r="BE5" i="14" s="1"/>
  <c r="BF5" i="14" s="1"/>
  <c r="BG5" i="14" s="1"/>
  <c r="BH5" i="14" s="1"/>
  <c r="BI5" i="14" s="1"/>
  <c r="BJ5" i="14" s="1"/>
  <c r="BK5" i="14" s="1"/>
  <c r="BL5" i="14" s="1"/>
  <c r="BM5" i="14" s="1"/>
  <c r="BN5" i="14" s="1"/>
  <c r="BO5" i="14" s="1"/>
  <c r="BP5" i="14" s="1"/>
  <c r="BQ5" i="14" s="1"/>
  <c r="BR5" i="14" s="1"/>
  <c r="BS5" i="14" s="1"/>
  <c r="BT5" i="14" s="1"/>
  <c r="BU5" i="14" s="1"/>
  <c r="BV5" i="14" s="1"/>
  <c r="BW5" i="14" s="1"/>
  <c r="BX5" i="14" s="1"/>
  <c r="BY5" i="14" s="1"/>
  <c r="BZ5" i="14" s="1"/>
  <c r="CA5" i="14" s="1"/>
  <c r="CB5" i="14" s="1"/>
  <c r="CC5" i="14" s="1"/>
  <c r="CD5" i="14" s="1"/>
  <c r="CE5" i="14" s="1"/>
  <c r="CF5" i="14" s="1"/>
  <c r="CG5" i="14" s="1"/>
  <c r="CH5" i="14" s="1"/>
  <c r="CI5" i="14" s="1"/>
  <c r="CJ5" i="14" s="1"/>
  <c r="CK5" i="14" s="1"/>
  <c r="CL5" i="14" s="1"/>
  <c r="CM5" i="14" s="1"/>
  <c r="CN5" i="14" s="1"/>
  <c r="CO5" i="14" s="1"/>
  <c r="CP5" i="14" s="1"/>
  <c r="CQ5" i="14" s="1"/>
  <c r="CR5" i="14" s="1"/>
  <c r="CS5" i="14" s="1"/>
  <c r="CT5" i="14" s="1"/>
  <c r="CU5" i="14" s="1"/>
  <c r="CV5" i="14" s="1"/>
  <c r="CW5" i="14" s="1"/>
  <c r="CX5" i="14" s="1"/>
  <c r="CY5" i="14" s="1"/>
  <c r="CZ5" i="14" s="1"/>
  <c r="DA5" i="14" s="1"/>
  <c r="DB5" i="14" s="1"/>
  <c r="DC5" i="14" s="1"/>
  <c r="DD5" i="14" s="1"/>
  <c r="DE5" i="14" s="1"/>
  <c r="DF5" i="14" s="1"/>
  <c r="DG5" i="14" s="1"/>
  <c r="DH5" i="14" s="1"/>
  <c r="DI5" i="14" s="1"/>
  <c r="DJ5" i="14" s="1"/>
  <c r="DK5" i="14" s="1"/>
  <c r="DL5" i="14" s="1"/>
  <c r="DM5" i="14" s="1"/>
  <c r="DN5" i="14" s="1"/>
  <c r="DO5" i="14" s="1"/>
  <c r="DP5" i="14" s="1"/>
  <c r="DQ5" i="14" s="1"/>
  <c r="DR5" i="14" s="1"/>
  <c r="DS5" i="14" s="1"/>
  <c r="DT5" i="14" s="1"/>
  <c r="DU5" i="14" s="1"/>
  <c r="DV5" i="14" s="1"/>
  <c r="DW5" i="14" s="1"/>
  <c r="DX5" i="14" s="1"/>
  <c r="DY5" i="14" s="1"/>
  <c r="DZ5" i="14" s="1"/>
  <c r="EA5" i="14" s="1"/>
  <c r="EB5" i="14" s="1"/>
  <c r="EC5" i="14" s="1"/>
  <c r="ED5" i="14" s="1"/>
  <c r="EE5" i="14" s="1"/>
  <c r="EF5" i="14" s="1"/>
  <c r="EG5" i="14" s="1"/>
  <c r="EH5" i="14" s="1"/>
  <c r="EI5" i="14" s="1"/>
  <c r="EJ5" i="14" s="1"/>
  <c r="EK5" i="14" s="1"/>
  <c r="EL5" i="14" s="1"/>
  <c r="EM5" i="14" s="1"/>
  <c r="EN5" i="14" s="1"/>
  <c r="EO5" i="14" s="1"/>
  <c r="EP5" i="14" s="1"/>
  <c r="EQ5" i="14" s="1"/>
  <c r="ER5" i="14" s="1"/>
  <c r="ES5" i="14" s="1"/>
  <c r="ET5" i="14" s="1"/>
  <c r="EU5" i="14" s="1"/>
  <c r="EV5" i="14" s="1"/>
  <c r="EW5" i="14" s="1"/>
  <c r="EX5" i="14" s="1"/>
  <c r="EY5" i="14" s="1"/>
  <c r="EZ5" i="14" s="1"/>
  <c r="FA5" i="14" s="1"/>
  <c r="FB5" i="14" s="1"/>
  <c r="FC5" i="14" s="1"/>
  <c r="FD5" i="14" s="1"/>
  <c r="FE5" i="14" s="1"/>
  <c r="FF5" i="14" s="1"/>
  <c r="FG5" i="14" s="1"/>
  <c r="FH5" i="14" s="1"/>
  <c r="FI5" i="14" s="1"/>
  <c r="FJ5" i="14" s="1"/>
  <c r="FK5" i="14" s="1"/>
  <c r="FL5" i="14" s="1"/>
  <c r="FM5" i="14" s="1"/>
  <c r="FN5" i="14" s="1"/>
  <c r="FO5" i="14" s="1"/>
  <c r="FP5" i="14" s="1"/>
  <c r="FQ5" i="14" s="1"/>
  <c r="FR5" i="14" s="1"/>
  <c r="FS5" i="14" s="1"/>
  <c r="FT5" i="14" s="1"/>
  <c r="FU5" i="14" s="1"/>
  <c r="FV5" i="14" s="1"/>
  <c r="FW5" i="14" s="1"/>
  <c r="FX5" i="14" s="1"/>
  <c r="FY5" i="14" s="1"/>
  <c r="FZ5" i="14" s="1"/>
  <c r="GA5" i="14" s="1"/>
  <c r="GB5" i="14" s="1"/>
  <c r="GC5" i="14" s="1"/>
  <c r="GD5" i="14" s="1"/>
  <c r="GE5" i="14" s="1"/>
  <c r="GF5" i="14" s="1"/>
  <c r="GG5" i="14" s="1"/>
  <c r="GH5" i="14" s="1"/>
  <c r="GI5" i="14" s="1"/>
  <c r="GJ5" i="14" s="1"/>
  <c r="GK5" i="14" s="1"/>
  <c r="GL5" i="14" s="1"/>
  <c r="GM5" i="14" s="1"/>
  <c r="GN5" i="14" s="1"/>
  <c r="GO5" i="14" s="1"/>
  <c r="GP5" i="14" s="1"/>
  <c r="GQ5" i="14" s="1"/>
  <c r="GR5" i="14" s="1"/>
  <c r="GS5" i="14" s="1"/>
  <c r="GT5" i="14" s="1"/>
  <c r="GU5" i="14" s="1"/>
  <c r="GV5" i="14" s="1"/>
  <c r="GW5" i="14" s="1"/>
  <c r="GX5" i="14" s="1"/>
  <c r="GY5" i="14" s="1"/>
  <c r="GZ5" i="14" s="1"/>
  <c r="HA5" i="14" s="1"/>
  <c r="HB5" i="14" s="1"/>
  <c r="HC5" i="14" s="1"/>
  <c r="HD5" i="14" s="1"/>
  <c r="HE5" i="14" s="1"/>
  <c r="HF5" i="14" s="1"/>
  <c r="HG5" i="14" s="1"/>
  <c r="HH5" i="14" s="1"/>
  <c r="HI5" i="14" s="1"/>
  <c r="HJ5" i="14" s="1"/>
  <c r="HK5" i="14" s="1"/>
  <c r="HL5" i="14" s="1"/>
  <c r="HM5" i="14" s="1"/>
  <c r="HN5" i="14" s="1"/>
  <c r="HO5" i="14" s="1"/>
  <c r="HP5" i="14" s="1"/>
  <c r="HQ5" i="14" s="1"/>
  <c r="HR5" i="14" s="1"/>
  <c r="HS5" i="14" s="1"/>
  <c r="HT5" i="14" s="1"/>
  <c r="HU5" i="14" s="1"/>
  <c r="HV5" i="14" s="1"/>
  <c r="HW5" i="14" s="1"/>
  <c r="HX5" i="14" s="1"/>
  <c r="HY5" i="14" s="1"/>
  <c r="HZ5" i="14" s="1"/>
  <c r="IA5" i="14" s="1"/>
  <c r="IB5" i="14" s="1"/>
  <c r="IC5" i="14" s="1"/>
  <c r="ID5" i="14" s="1"/>
  <c r="IE5" i="14" s="1"/>
  <c r="IF5" i="14" s="1"/>
  <c r="IG5" i="14" s="1"/>
  <c r="IH5" i="14" s="1"/>
  <c r="II5" i="14" s="1"/>
  <c r="IJ5" i="14" s="1"/>
  <c r="IK5" i="14" s="1"/>
  <c r="IL5" i="14" s="1"/>
  <c r="IM5" i="14" s="1"/>
  <c r="IN5" i="14" s="1"/>
  <c r="IO5" i="14" s="1"/>
  <c r="IP5" i="14" s="1"/>
  <c r="IQ5" i="14" s="1"/>
  <c r="IR5" i="14" s="1"/>
  <c r="IS5" i="14" s="1"/>
  <c r="IT5" i="14" s="1"/>
  <c r="IU5" i="14" s="1"/>
  <c r="IV5" i="14" s="1"/>
  <c r="IW5" i="14" s="1"/>
  <c r="IX5" i="14" s="1"/>
  <c r="IY5" i="14" s="1"/>
  <c r="IZ5" i="14" s="1"/>
  <c r="JA5" i="14" s="1"/>
  <c r="JB5" i="14" s="1"/>
  <c r="JC5" i="14" s="1"/>
  <c r="JD5" i="14" s="1"/>
  <c r="JE5" i="14" s="1"/>
  <c r="JF5" i="14" s="1"/>
  <c r="JG5" i="14" s="1"/>
  <c r="JH5" i="14" s="1"/>
  <c r="JI5" i="14" s="1"/>
  <c r="JJ5" i="14" s="1"/>
  <c r="JK5" i="14" s="1"/>
  <c r="JL5" i="14" s="1"/>
  <c r="JM5" i="14" s="1"/>
  <c r="JN5" i="14" s="1"/>
  <c r="JO5" i="14" s="1"/>
  <c r="JP5" i="14" s="1"/>
  <c r="JQ5" i="14" s="1"/>
  <c r="JR5" i="14" s="1"/>
  <c r="JS5" i="14" s="1"/>
  <c r="JT5" i="14" s="1"/>
  <c r="JU5" i="14" s="1"/>
  <c r="JV5" i="14" s="1"/>
  <c r="JW5" i="14" s="1"/>
  <c r="JX5" i="14" s="1"/>
  <c r="JY5" i="14" s="1"/>
  <c r="JZ5" i="14" s="1"/>
  <c r="KA5" i="14" s="1"/>
  <c r="KB5" i="14" s="1"/>
  <c r="KC5" i="14" s="1"/>
  <c r="KD5" i="14" s="1"/>
  <c r="KE5" i="14" s="1"/>
  <c r="KF5" i="14" s="1"/>
  <c r="KG5" i="14" s="1"/>
  <c r="KH5" i="14" s="1"/>
  <c r="KI5" i="14" s="1"/>
  <c r="KJ5" i="14" s="1"/>
  <c r="KK5" i="14" s="1"/>
  <c r="KL5" i="14" s="1"/>
  <c r="KM5" i="14" s="1"/>
  <c r="KN5" i="14" s="1"/>
  <c r="KO5" i="14" s="1"/>
  <c r="KP5" i="14" s="1"/>
  <c r="KQ5" i="14" s="1"/>
  <c r="KR5" i="14" s="1"/>
  <c r="KS5" i="14" s="1"/>
  <c r="KT5" i="14" s="1"/>
  <c r="KU5" i="14" s="1"/>
  <c r="KV5" i="14" s="1"/>
  <c r="KW5" i="14" s="1"/>
  <c r="KX5" i="14" s="1"/>
  <c r="KY5" i="14" s="1"/>
  <c r="KZ5" i="14" s="1"/>
  <c r="LA5" i="14" s="1"/>
  <c r="LB5" i="14" s="1"/>
  <c r="LC5" i="14" s="1"/>
  <c r="LD5" i="14" s="1"/>
  <c r="LE5" i="14" s="1"/>
  <c r="LF5" i="14" s="1"/>
  <c r="LG5" i="14" s="1"/>
  <c r="LH5" i="14" s="1"/>
  <c r="LI5" i="14" s="1"/>
  <c r="LJ5" i="14" s="1"/>
  <c r="LK5" i="14" s="1"/>
  <c r="LL5" i="14" s="1"/>
  <c r="LM5" i="14" s="1"/>
  <c r="LN5" i="14" s="1"/>
  <c r="LO5" i="14" s="1"/>
  <c r="LP5" i="14" s="1"/>
  <c r="LQ5" i="14" s="1"/>
  <c r="LR5" i="14" s="1"/>
  <c r="LS5" i="14" s="1"/>
  <c r="LT5" i="14" s="1"/>
  <c r="LU5" i="14" s="1"/>
  <c r="LV5" i="14" s="1"/>
  <c r="LW5" i="14" s="1"/>
  <c r="LX5" i="14" s="1"/>
  <c r="LY5" i="14" s="1"/>
  <c r="LZ5" i="14" s="1"/>
  <c r="MA5" i="14" s="1"/>
  <c r="MB5" i="14" s="1"/>
  <c r="MC5" i="14" s="1"/>
  <c r="MD5" i="14" s="1"/>
  <c r="ME5" i="14" s="1"/>
  <c r="MF5" i="14" s="1"/>
  <c r="MG5" i="14" s="1"/>
  <c r="MH5" i="14" s="1"/>
  <c r="MI5" i="14" s="1"/>
  <c r="MJ5" i="14" s="1"/>
  <c r="MK5" i="14" s="1"/>
  <c r="ML5" i="14" s="1"/>
  <c r="MM5" i="14" s="1"/>
  <c r="MN5" i="14" s="1"/>
  <c r="MO5" i="14" s="1"/>
  <c r="MP5" i="14" s="1"/>
  <c r="MQ5" i="14" s="1"/>
  <c r="MR5" i="14" s="1"/>
  <c r="MS5" i="14" s="1"/>
  <c r="MT5" i="14" s="1"/>
  <c r="MU5" i="14" s="1"/>
  <c r="MV5" i="14" s="1"/>
  <c r="MW5" i="14" s="1"/>
  <c r="MX5" i="14" s="1"/>
  <c r="MY5" i="14" s="1"/>
  <c r="MZ5" i="14" s="1"/>
  <c r="NA5" i="14" s="1"/>
  <c r="NB5" i="14" s="1"/>
  <c r="NC5" i="14" s="1"/>
  <c r="ND5" i="14" s="1"/>
  <c r="NE5" i="14" s="1"/>
  <c r="NF5" i="14" s="1"/>
  <c r="NG5" i="14" s="1"/>
  <c r="NH5" i="14" s="1"/>
  <c r="NI5" i="14" s="1"/>
  <c r="NJ5" i="14" s="1"/>
  <c r="NK5" i="14" s="1"/>
  <c r="NL5" i="14" s="1"/>
  <c r="NM5" i="14" s="1"/>
  <c r="NN5" i="14" s="1"/>
  <c r="NO5" i="14" s="1"/>
  <c r="NP5" i="14" s="1"/>
  <c r="NQ5" i="14" s="1"/>
  <c r="NR5" i="14" s="1"/>
  <c r="NS5" i="14" s="1"/>
  <c r="NT5" i="14" s="1"/>
  <c r="NU5" i="14" s="1"/>
  <c r="NV5" i="14" s="1"/>
  <c r="NW5" i="14" s="1"/>
  <c r="NX5" i="14" s="1"/>
  <c r="NY5" i="14" s="1"/>
  <c r="NZ5" i="14" s="1"/>
  <c r="OA5" i="14" s="1"/>
  <c r="OB5" i="14" s="1"/>
  <c r="OC5" i="14" s="1"/>
  <c r="OD5" i="14" s="1"/>
  <c r="OE5" i="14" s="1"/>
  <c r="OF5" i="14" s="1"/>
  <c r="OG5" i="14" s="1"/>
  <c r="OH5" i="14" s="1"/>
  <c r="OI5" i="14" s="1"/>
  <c r="OJ5" i="14" s="1"/>
  <c r="OK5" i="14" s="1"/>
  <c r="OL5" i="14" s="1"/>
  <c r="OM5" i="14" s="1"/>
  <c r="ON5" i="14" s="1"/>
  <c r="OO5" i="14" s="1"/>
  <c r="OP5" i="14" s="1"/>
  <c r="OQ5" i="14" s="1"/>
  <c r="OR5" i="14" s="1"/>
  <c r="OS5" i="14" s="1"/>
  <c r="OT5" i="14" s="1"/>
  <c r="OU5" i="14" s="1"/>
  <c r="OV5" i="14" s="1"/>
  <c r="OW5" i="14" s="1"/>
  <c r="OX5" i="14" s="1"/>
  <c r="OY5" i="14" s="1"/>
  <c r="OZ5" i="14" s="1"/>
  <c r="PA5" i="14" s="1"/>
  <c r="PB5" i="14" s="1"/>
  <c r="PC5" i="14" s="1"/>
  <c r="PD5" i="14" s="1"/>
  <c r="PE5" i="14" s="1"/>
  <c r="PF5" i="14" s="1"/>
  <c r="PG5" i="14" s="1"/>
  <c r="PH5" i="14" s="1"/>
  <c r="PI5" i="14" s="1"/>
  <c r="PJ5" i="14" s="1"/>
  <c r="PK5" i="14" s="1"/>
  <c r="PL5" i="14" s="1"/>
  <c r="PM5" i="14" s="1"/>
  <c r="PN5" i="14" s="1"/>
  <c r="PO5" i="14" s="1"/>
  <c r="PP5" i="14" s="1"/>
  <c r="PQ5" i="14" s="1"/>
  <c r="PR5" i="14" s="1"/>
  <c r="PS5" i="14" s="1"/>
  <c r="PT5" i="14" s="1"/>
  <c r="PU5" i="14" s="1"/>
  <c r="PV5" i="14" s="1"/>
  <c r="PW5" i="14" s="1"/>
  <c r="PX5" i="14" s="1"/>
  <c r="PY5" i="14" s="1"/>
  <c r="PZ5" i="14" s="1"/>
  <c r="QA5" i="14" s="1"/>
  <c r="QB5" i="14" s="1"/>
  <c r="QC5" i="14" s="1"/>
  <c r="QD5" i="14" s="1"/>
  <c r="QE5" i="14" s="1"/>
  <c r="QF5" i="14" s="1"/>
  <c r="QG5" i="14" s="1"/>
  <c r="QH5" i="14" s="1"/>
  <c r="QI5" i="14" s="1"/>
  <c r="QJ5" i="14" s="1"/>
  <c r="QK5" i="14" s="1"/>
  <c r="QL5" i="14" s="1"/>
  <c r="QM5" i="14" s="1"/>
  <c r="QN5" i="14" s="1"/>
  <c r="QO5" i="14" s="1"/>
  <c r="QP5" i="14" s="1"/>
  <c r="QQ5" i="14" s="1"/>
  <c r="QR5" i="14" s="1"/>
  <c r="QS5" i="14" s="1"/>
  <c r="QT5" i="14" s="1"/>
  <c r="QU5" i="14" s="1"/>
  <c r="QV5" i="14" s="1"/>
  <c r="QW5" i="14" s="1"/>
  <c r="QX5" i="14" s="1"/>
  <c r="QY5" i="14" s="1"/>
  <c r="QZ5" i="14" s="1"/>
  <c r="RA5" i="14" s="1"/>
  <c r="RB5" i="14" s="1"/>
  <c r="RC5" i="14" s="1"/>
  <c r="RD5" i="14" s="1"/>
  <c r="RE5" i="14" s="1"/>
  <c r="RF5" i="14" s="1"/>
  <c r="RG5" i="14" s="1"/>
  <c r="RH5" i="14" s="1"/>
  <c r="RI5" i="14" s="1"/>
  <c r="RJ5" i="14" s="1"/>
  <c r="RK5" i="14" s="1"/>
  <c r="RL5" i="14" s="1"/>
  <c r="RM5" i="14" s="1"/>
  <c r="RN5" i="14" s="1"/>
  <c r="RO5" i="14" s="1"/>
  <c r="RP5" i="14" s="1"/>
  <c r="RQ5" i="14" s="1"/>
  <c r="RR5" i="14" s="1"/>
  <c r="RS5" i="14" s="1"/>
  <c r="RT5" i="14" s="1"/>
  <c r="RU5" i="14" s="1"/>
  <c r="RV5" i="14" s="1"/>
  <c r="RW5" i="14" s="1"/>
  <c r="RX5" i="14" s="1"/>
  <c r="RY5" i="14" s="1"/>
  <c r="RZ5" i="14" s="1"/>
  <c r="SA5" i="14" s="1"/>
  <c r="SB5" i="14" s="1"/>
  <c r="SC5" i="14" s="1"/>
  <c r="SD5" i="14" s="1"/>
  <c r="SE5" i="14" s="1"/>
  <c r="SF5" i="14" s="1"/>
  <c r="SG5" i="14" s="1"/>
  <c r="SH5" i="14" s="1"/>
  <c r="SI5" i="14" s="1"/>
  <c r="SJ5" i="14" s="1"/>
  <c r="SK5" i="14" s="1"/>
  <c r="SL5" i="14" s="1"/>
  <c r="SM5" i="14" s="1"/>
  <c r="SN5" i="14" s="1"/>
  <c r="SO5" i="14" s="1"/>
  <c r="SP5" i="14" s="1"/>
  <c r="SQ5" i="14" s="1"/>
  <c r="SR5" i="14" s="1"/>
  <c r="SS5" i="14" s="1"/>
  <c r="ST5" i="14" s="1"/>
  <c r="SU5" i="14" s="1"/>
  <c r="SV5" i="14" s="1"/>
  <c r="SW5" i="14" s="1"/>
  <c r="SX5" i="14" s="1"/>
  <c r="SY5" i="14" s="1"/>
  <c r="SZ5" i="14" s="1"/>
  <c r="TA5" i="14" s="1"/>
  <c r="TB5" i="14" s="1"/>
  <c r="TC5" i="14" s="1"/>
  <c r="TD5" i="14" s="1"/>
  <c r="TE5" i="14" s="1"/>
  <c r="TF5" i="14" s="1"/>
  <c r="TG5" i="14" s="1"/>
  <c r="TH5" i="14" s="1"/>
  <c r="TI5" i="14" s="1"/>
  <c r="TJ5" i="14" s="1"/>
  <c r="TK5" i="14" s="1"/>
  <c r="TL5" i="14" s="1"/>
  <c r="TM5" i="14" s="1"/>
  <c r="TN5" i="14" s="1"/>
  <c r="TO5" i="14" s="1"/>
  <c r="TP5" i="14" s="1"/>
  <c r="TQ5" i="14" s="1"/>
  <c r="TR5" i="14" s="1"/>
  <c r="TS5" i="14" s="1"/>
  <c r="TT5" i="14" s="1"/>
  <c r="TU5" i="14" s="1"/>
  <c r="TV5" i="14" s="1"/>
  <c r="TW5" i="14" s="1"/>
  <c r="TX5" i="14" s="1"/>
  <c r="TY5" i="14" s="1"/>
  <c r="TZ5" i="14" s="1"/>
  <c r="UA5" i="14" s="1"/>
  <c r="UB5" i="14" s="1"/>
  <c r="UC5" i="14" s="1"/>
  <c r="UD5" i="14" s="1"/>
  <c r="UE5" i="14" s="1"/>
  <c r="UF5" i="14" s="1"/>
  <c r="UG5" i="14" s="1"/>
  <c r="UH5" i="14" s="1"/>
  <c r="UI5" i="14" s="1"/>
  <c r="UJ5" i="14" s="1"/>
  <c r="UK5" i="14" s="1"/>
  <c r="UL5" i="14" s="1"/>
  <c r="UM5" i="14" s="1"/>
  <c r="UN5" i="14" s="1"/>
  <c r="UO5" i="14" s="1"/>
  <c r="UP5" i="14" s="1"/>
  <c r="UQ5" i="14" s="1"/>
  <c r="UR5" i="14" s="1"/>
  <c r="US5" i="14" s="1"/>
  <c r="UT5" i="14" s="1"/>
  <c r="UU5" i="14" s="1"/>
  <c r="UV5" i="14" s="1"/>
  <c r="UW5" i="14" s="1"/>
  <c r="UX5" i="14" s="1"/>
  <c r="UY5" i="14" s="1"/>
  <c r="UZ5" i="14" s="1"/>
  <c r="VA5" i="14" s="1"/>
  <c r="VB5" i="14" s="1"/>
  <c r="VC5" i="14" s="1"/>
  <c r="VD5" i="14" s="1"/>
  <c r="VE5" i="14" s="1"/>
  <c r="VF5" i="14" s="1"/>
  <c r="VG5" i="14" s="1"/>
  <c r="VH5" i="14" s="1"/>
  <c r="VI5" i="14" s="1"/>
  <c r="VJ5" i="14" s="1"/>
  <c r="VK5" i="14" s="1"/>
  <c r="VL5" i="14" s="1"/>
  <c r="VM5" i="14" s="1"/>
  <c r="VN5" i="14" s="1"/>
  <c r="VO5" i="14" s="1"/>
  <c r="VP5" i="14" s="1"/>
  <c r="VQ5" i="14" s="1"/>
  <c r="VR5" i="14" s="1"/>
  <c r="VS5" i="14" s="1"/>
  <c r="VT5" i="14" s="1"/>
  <c r="VU5" i="14" s="1"/>
  <c r="VV5" i="14" s="1"/>
  <c r="VW5" i="14" s="1"/>
  <c r="VX5" i="14" s="1"/>
  <c r="VY5" i="14" s="1"/>
  <c r="VZ5" i="14" s="1"/>
  <c r="WA5" i="14" s="1"/>
  <c r="WB5" i="14" s="1"/>
  <c r="WC5" i="14" s="1"/>
  <c r="WD5" i="14" s="1"/>
  <c r="WE5" i="14" s="1"/>
  <c r="WF5" i="14" s="1"/>
  <c r="WG5" i="14" s="1"/>
  <c r="WH5" i="14" s="1"/>
  <c r="WI5" i="14" s="1"/>
  <c r="WJ5" i="14" s="1"/>
  <c r="WK5" i="14" s="1"/>
  <c r="WL5" i="14" s="1"/>
  <c r="WM5" i="14" s="1"/>
  <c r="WN5" i="14" s="1"/>
  <c r="WO5" i="14" s="1"/>
  <c r="WP5" i="14" s="1"/>
  <c r="WQ5" i="14" s="1"/>
  <c r="WR5" i="14" s="1"/>
  <c r="WS5" i="14" s="1"/>
  <c r="WT5" i="14" s="1"/>
  <c r="WU5" i="14" s="1"/>
  <c r="WV5" i="14" s="1"/>
  <c r="WW5" i="14" s="1"/>
  <c r="WX5" i="14" s="1"/>
  <c r="WY5" i="14" s="1"/>
  <c r="WZ5" i="14" s="1"/>
  <c r="XA5" i="14" s="1"/>
  <c r="XB5" i="14" s="1"/>
  <c r="XC5" i="14" s="1"/>
  <c r="XD5" i="14" s="1"/>
  <c r="XE5" i="14" s="1"/>
  <c r="XF5" i="14" s="1"/>
  <c r="XG5" i="14" s="1"/>
  <c r="XH5" i="14" s="1"/>
  <c r="XI5" i="14" s="1"/>
  <c r="XJ5" i="14" s="1"/>
  <c r="XK5" i="14" s="1"/>
  <c r="XL5" i="14" s="1"/>
  <c r="XM5" i="14" s="1"/>
  <c r="XN5" i="14" s="1"/>
  <c r="XO5" i="14" s="1"/>
  <c r="XP5" i="14" s="1"/>
  <c r="XQ5" i="14" s="1"/>
  <c r="XR5" i="14" s="1"/>
  <c r="XS5" i="14" s="1"/>
  <c r="XT5" i="14" s="1"/>
  <c r="XU5" i="14" s="1"/>
  <c r="XV5" i="14" s="1"/>
  <c r="XW5" i="14" s="1"/>
  <c r="XX5" i="14" s="1"/>
  <c r="XY5" i="14" s="1"/>
  <c r="XZ5" i="14" s="1"/>
  <c r="YA5" i="14" s="1"/>
  <c r="YB5" i="14" s="1"/>
  <c r="YC5" i="14" s="1"/>
  <c r="YD5" i="14" s="1"/>
  <c r="YE5" i="14" s="1"/>
  <c r="YF5" i="14" s="1"/>
  <c r="YG5" i="14" s="1"/>
  <c r="YH5" i="14" s="1"/>
  <c r="YI5" i="14" s="1"/>
  <c r="YJ5" i="14" s="1"/>
  <c r="YK5" i="14" s="1"/>
  <c r="YL5" i="14" s="1"/>
  <c r="YM5" i="14" s="1"/>
  <c r="YN5" i="14" s="1"/>
  <c r="YO5" i="14" s="1"/>
  <c r="YP5" i="14" s="1"/>
  <c r="YQ5" i="14" s="1"/>
  <c r="YR5" i="14" s="1"/>
  <c r="YS5" i="14" s="1"/>
  <c r="YT5" i="14" s="1"/>
  <c r="YU5" i="14" s="1"/>
  <c r="YV5" i="14" s="1"/>
  <c r="YW5" i="14" s="1"/>
  <c r="YX5" i="14" s="1"/>
  <c r="YY5" i="14" s="1"/>
  <c r="YZ5" i="14" s="1"/>
  <c r="ZA5" i="14" s="1"/>
  <c r="ZB5" i="14" s="1"/>
  <c r="ZC5" i="14" s="1"/>
  <c r="ZD5" i="14" s="1"/>
  <c r="ZE5" i="14" s="1"/>
  <c r="ZF5" i="14" s="1"/>
  <c r="ZG5" i="14" s="1"/>
  <c r="ZH5" i="14" s="1"/>
  <c r="ZI5" i="14" s="1"/>
  <c r="ZJ5" i="14" s="1"/>
  <c r="ZK5" i="14" s="1"/>
  <c r="ZL5" i="14" s="1"/>
  <c r="ZM5" i="14" s="1"/>
  <c r="ZN5" i="14" s="1"/>
  <c r="ZO5" i="14" s="1"/>
  <c r="ZP5" i="14" s="1"/>
  <c r="ZQ5" i="14" s="1"/>
  <c r="ZR5" i="14" s="1"/>
  <c r="ZS5" i="14" s="1"/>
  <c r="ZT5" i="14" s="1"/>
  <c r="ZU5" i="14" s="1"/>
  <c r="ZV5" i="14" s="1"/>
  <c r="ZW5" i="14" s="1"/>
  <c r="ZX5" i="14" s="1"/>
  <c r="ZY5" i="14" s="1"/>
  <c r="ZZ5" i="14" s="1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AG7" i="12" s="1"/>
  <c r="AH7" i="12" s="1"/>
  <c r="AI7" i="12" s="1"/>
  <c r="AJ7" i="12" s="1"/>
  <c r="AK7" i="12" s="1"/>
  <c r="AL7" i="12" s="1"/>
  <c r="AM7" i="12" s="1"/>
  <c r="AN7" i="12" s="1"/>
  <c r="AO7" i="12" s="1"/>
  <c r="AP7" i="12" s="1"/>
  <c r="AQ7" i="12" s="1"/>
  <c r="AR7" i="12" s="1"/>
  <c r="AS7" i="12" s="1"/>
  <c r="AT7" i="12" s="1"/>
  <c r="AU7" i="12" s="1"/>
  <c r="AV7" i="12" s="1"/>
  <c r="C5" i="13"/>
  <c r="D5" i="13" s="1"/>
  <c r="E5" i="13" s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AH5" i="13" s="1"/>
  <c r="AI5" i="13" s="1"/>
  <c r="AJ5" i="13" s="1"/>
  <c r="AK5" i="13" s="1"/>
  <c r="AL5" i="13" s="1"/>
  <c r="AM5" i="13" s="1"/>
  <c r="AN5" i="13" s="1"/>
  <c r="AO5" i="13" s="1"/>
  <c r="AP5" i="13" s="1"/>
  <c r="AQ5" i="13" s="1"/>
  <c r="AR5" i="13" s="1"/>
  <c r="AS5" i="13" s="1"/>
  <c r="AT5" i="13" s="1"/>
  <c r="AU5" i="13" s="1"/>
  <c r="AV5" i="13" s="1"/>
  <c r="AW5" i="13" s="1"/>
  <c r="AX5" i="13" s="1"/>
  <c r="AY5" i="13" s="1"/>
  <c r="AZ5" i="13" s="1"/>
  <c r="BA5" i="13" s="1"/>
  <c r="BB5" i="13" s="1"/>
  <c r="BC5" i="13" s="1"/>
  <c r="BD5" i="13" s="1"/>
  <c r="BE5" i="13" s="1"/>
  <c r="BF5" i="13" s="1"/>
  <c r="BG5" i="13" s="1"/>
  <c r="BH5" i="13" s="1"/>
  <c r="BI5" i="13" s="1"/>
  <c r="BJ5" i="13" s="1"/>
  <c r="BK5" i="13" s="1"/>
  <c r="BL5" i="13" s="1"/>
  <c r="BM5" i="13" s="1"/>
  <c r="BN5" i="13" s="1"/>
  <c r="BO5" i="13" s="1"/>
  <c r="BP5" i="13" s="1"/>
  <c r="BQ5" i="13" s="1"/>
  <c r="BR5" i="13" s="1"/>
  <c r="BS5" i="13" s="1"/>
  <c r="BT5" i="13" s="1"/>
  <c r="BU5" i="13" s="1"/>
  <c r="BV5" i="13" s="1"/>
  <c r="BW5" i="13" s="1"/>
  <c r="BX5" i="13" s="1"/>
  <c r="BY5" i="13" s="1"/>
  <c r="BZ5" i="13" s="1"/>
  <c r="CA5" i="13" s="1"/>
  <c r="CB5" i="13" s="1"/>
  <c r="CC5" i="13" s="1"/>
  <c r="CD5" i="13" s="1"/>
  <c r="CE5" i="13" s="1"/>
  <c r="CF5" i="13" s="1"/>
  <c r="CG5" i="13" s="1"/>
  <c r="CH5" i="13" s="1"/>
  <c r="CI5" i="13" s="1"/>
  <c r="CJ5" i="13" s="1"/>
  <c r="CK5" i="13" s="1"/>
  <c r="CL5" i="13" s="1"/>
  <c r="CM5" i="13" s="1"/>
  <c r="CN5" i="13" s="1"/>
  <c r="CO5" i="13" s="1"/>
  <c r="CP5" i="13" s="1"/>
  <c r="CQ5" i="13" s="1"/>
  <c r="CR5" i="13" s="1"/>
  <c r="CS5" i="13" s="1"/>
  <c r="CT5" i="13" s="1"/>
  <c r="CU5" i="13" s="1"/>
  <c r="CV5" i="13" s="1"/>
  <c r="CW5" i="13" s="1"/>
  <c r="CX5" i="13" s="1"/>
  <c r="CY5" i="13" s="1"/>
  <c r="CZ5" i="13" s="1"/>
  <c r="DA5" i="13" s="1"/>
  <c r="DB5" i="13" s="1"/>
  <c r="DC5" i="13" s="1"/>
  <c r="DD5" i="13" s="1"/>
  <c r="DE5" i="13" s="1"/>
  <c r="DF5" i="13" s="1"/>
  <c r="DG5" i="13" s="1"/>
  <c r="DH5" i="13" s="1"/>
  <c r="DI5" i="13" s="1"/>
  <c r="DJ5" i="13" s="1"/>
  <c r="DK5" i="13" s="1"/>
  <c r="DL5" i="13" s="1"/>
  <c r="DM5" i="13" s="1"/>
  <c r="DN5" i="13" s="1"/>
  <c r="DO5" i="13" s="1"/>
  <c r="DP5" i="13" s="1"/>
  <c r="DQ5" i="13" s="1"/>
  <c r="DR5" i="13" s="1"/>
  <c r="DS5" i="13" s="1"/>
  <c r="DT5" i="13" s="1"/>
  <c r="DU5" i="13" s="1"/>
  <c r="DV5" i="13" s="1"/>
  <c r="DW5" i="13" s="1"/>
  <c r="DX5" i="13" s="1"/>
  <c r="DY5" i="13" s="1"/>
  <c r="DZ5" i="13" s="1"/>
  <c r="EA5" i="13" s="1"/>
  <c r="EB5" i="13" s="1"/>
  <c r="EC5" i="13" s="1"/>
  <c r="ED5" i="13" s="1"/>
  <c r="EE5" i="13" s="1"/>
  <c r="EF5" i="13" s="1"/>
  <c r="EG5" i="13" s="1"/>
  <c r="EH5" i="13" s="1"/>
  <c r="EI5" i="13" s="1"/>
  <c r="EJ5" i="13" s="1"/>
  <c r="EK5" i="13" s="1"/>
  <c r="EL5" i="13" s="1"/>
  <c r="EM5" i="13" s="1"/>
  <c r="EN5" i="13" s="1"/>
  <c r="EO5" i="13" s="1"/>
  <c r="EP5" i="13" s="1"/>
  <c r="EQ5" i="13" s="1"/>
  <c r="ER5" i="13" s="1"/>
  <c r="ES5" i="13" s="1"/>
  <c r="ET5" i="13" s="1"/>
  <c r="EU5" i="13" s="1"/>
  <c r="EV5" i="13" s="1"/>
  <c r="EW5" i="13" s="1"/>
  <c r="EX5" i="13" s="1"/>
  <c r="EY5" i="13" s="1"/>
  <c r="EZ5" i="13" s="1"/>
  <c r="FA5" i="13" s="1"/>
  <c r="FB5" i="13" s="1"/>
  <c r="FC5" i="13" s="1"/>
  <c r="FD5" i="13" s="1"/>
  <c r="FE5" i="13" s="1"/>
  <c r="FF5" i="13" s="1"/>
  <c r="FG5" i="13" s="1"/>
  <c r="FH5" i="13" s="1"/>
  <c r="FI5" i="13" s="1"/>
  <c r="FJ5" i="13" s="1"/>
  <c r="FK5" i="13" s="1"/>
  <c r="FL5" i="13" s="1"/>
  <c r="FM5" i="13" s="1"/>
  <c r="FN5" i="13" s="1"/>
  <c r="FO5" i="13" s="1"/>
  <c r="FP5" i="13" s="1"/>
  <c r="FQ5" i="13" s="1"/>
  <c r="FR5" i="13" s="1"/>
  <c r="FS5" i="13" s="1"/>
  <c r="FT5" i="13" s="1"/>
  <c r="FU5" i="13" s="1"/>
  <c r="FV5" i="13" s="1"/>
  <c r="FW5" i="13" s="1"/>
  <c r="FX5" i="13" s="1"/>
  <c r="FY5" i="13" s="1"/>
  <c r="FZ5" i="13" s="1"/>
  <c r="GA5" i="13" s="1"/>
  <c r="GB5" i="13" s="1"/>
  <c r="GC5" i="13" s="1"/>
  <c r="GD5" i="13" s="1"/>
  <c r="GE5" i="13" s="1"/>
  <c r="GF5" i="13" s="1"/>
  <c r="GG5" i="13" s="1"/>
  <c r="GH5" i="13" s="1"/>
  <c r="GI5" i="13" s="1"/>
  <c r="GJ5" i="13" s="1"/>
  <c r="GK5" i="13" s="1"/>
  <c r="GL5" i="13" s="1"/>
  <c r="GM5" i="13" s="1"/>
  <c r="GN5" i="13" s="1"/>
  <c r="GO5" i="13" s="1"/>
  <c r="GP5" i="13" s="1"/>
  <c r="GQ5" i="13" s="1"/>
  <c r="GR5" i="13" s="1"/>
  <c r="GS5" i="13" s="1"/>
  <c r="GT5" i="13" s="1"/>
  <c r="GU5" i="13" s="1"/>
  <c r="GV5" i="13" s="1"/>
  <c r="GW5" i="13" s="1"/>
  <c r="GX5" i="13" s="1"/>
  <c r="GY5" i="13" s="1"/>
  <c r="GZ5" i="13" s="1"/>
  <c r="HA5" i="13" s="1"/>
  <c r="HB5" i="13" s="1"/>
  <c r="HC5" i="13" s="1"/>
  <c r="HD5" i="13" s="1"/>
  <c r="HE5" i="13" s="1"/>
  <c r="HF5" i="13" s="1"/>
  <c r="HG5" i="13" s="1"/>
  <c r="HH5" i="13" s="1"/>
  <c r="HI5" i="13" s="1"/>
  <c r="HJ5" i="13" s="1"/>
  <c r="HK5" i="13" s="1"/>
  <c r="HL5" i="13" s="1"/>
  <c r="HM5" i="13" s="1"/>
  <c r="HN5" i="13" s="1"/>
  <c r="HO5" i="13" s="1"/>
  <c r="HP5" i="13" s="1"/>
  <c r="HQ5" i="13" s="1"/>
  <c r="HR5" i="13" s="1"/>
  <c r="HS5" i="13" s="1"/>
  <c r="HT5" i="13" s="1"/>
  <c r="HU5" i="13" s="1"/>
  <c r="HV5" i="13" s="1"/>
  <c r="HW5" i="13" s="1"/>
  <c r="HX5" i="13" s="1"/>
  <c r="HY5" i="13" s="1"/>
  <c r="HZ5" i="13" s="1"/>
  <c r="IA5" i="13" s="1"/>
  <c r="IB5" i="13" s="1"/>
  <c r="IC5" i="13" s="1"/>
  <c r="ID5" i="13" s="1"/>
  <c r="IE5" i="13" s="1"/>
  <c r="IF5" i="13" s="1"/>
  <c r="IG5" i="13" s="1"/>
  <c r="IH5" i="13" s="1"/>
  <c r="II5" i="13" s="1"/>
  <c r="IJ5" i="13" s="1"/>
  <c r="IK5" i="13" s="1"/>
  <c r="IL5" i="13" s="1"/>
  <c r="IM5" i="13" s="1"/>
  <c r="IN5" i="13" s="1"/>
  <c r="IO5" i="13" s="1"/>
  <c r="IP5" i="13" s="1"/>
  <c r="IQ5" i="13" s="1"/>
  <c r="IR5" i="13" s="1"/>
  <c r="IS5" i="13" s="1"/>
  <c r="IT5" i="13" s="1"/>
  <c r="IU5" i="13" s="1"/>
  <c r="IV5" i="13" s="1"/>
  <c r="IW5" i="13" s="1"/>
  <c r="IX5" i="13" s="1"/>
  <c r="IY5" i="13" s="1"/>
  <c r="IZ5" i="13" s="1"/>
  <c r="JA5" i="13" s="1"/>
  <c r="JB5" i="13" s="1"/>
  <c r="JC5" i="13" s="1"/>
  <c r="JD5" i="13" s="1"/>
  <c r="JE5" i="13" s="1"/>
  <c r="JF5" i="13" s="1"/>
  <c r="JG5" i="13" s="1"/>
  <c r="JH5" i="13" s="1"/>
  <c r="JI5" i="13" s="1"/>
  <c r="JJ5" i="13" s="1"/>
  <c r="JK5" i="13" s="1"/>
  <c r="JL5" i="13" s="1"/>
  <c r="JM5" i="13" s="1"/>
  <c r="JN5" i="13" s="1"/>
  <c r="JO5" i="13" s="1"/>
  <c r="JP5" i="13" s="1"/>
  <c r="JQ5" i="13" s="1"/>
  <c r="JR5" i="13" s="1"/>
  <c r="JS5" i="13" s="1"/>
  <c r="JT5" i="13" s="1"/>
  <c r="JU5" i="13" s="1"/>
  <c r="JV5" i="13" s="1"/>
  <c r="JW5" i="13" s="1"/>
  <c r="JX5" i="13" s="1"/>
  <c r="JY5" i="13" s="1"/>
  <c r="JZ5" i="13" s="1"/>
  <c r="KA5" i="13" s="1"/>
  <c r="KB5" i="13" s="1"/>
  <c r="KC5" i="13" s="1"/>
  <c r="KD5" i="13" s="1"/>
  <c r="KE5" i="13" s="1"/>
  <c r="KF5" i="13" s="1"/>
  <c r="KG5" i="13" s="1"/>
  <c r="KH5" i="13" s="1"/>
  <c r="KI5" i="13" s="1"/>
  <c r="KJ5" i="13" s="1"/>
  <c r="KK5" i="13" s="1"/>
  <c r="KL5" i="13" s="1"/>
  <c r="KM5" i="13" s="1"/>
  <c r="KN5" i="13" s="1"/>
  <c r="KO5" i="13" s="1"/>
  <c r="KP5" i="13" s="1"/>
  <c r="KQ5" i="13" s="1"/>
  <c r="KR5" i="13" s="1"/>
  <c r="KS5" i="13" s="1"/>
  <c r="KT5" i="13" s="1"/>
  <c r="KU5" i="13" s="1"/>
  <c r="KV5" i="13" s="1"/>
  <c r="KW5" i="13" s="1"/>
  <c r="KX5" i="13" s="1"/>
  <c r="KY5" i="13" s="1"/>
  <c r="KZ5" i="13" s="1"/>
  <c r="LA5" i="13" s="1"/>
  <c r="LB5" i="13" s="1"/>
  <c r="LC5" i="13" s="1"/>
  <c r="LD5" i="13" s="1"/>
  <c r="LE5" i="13" s="1"/>
  <c r="LF5" i="13" s="1"/>
  <c r="LG5" i="13" s="1"/>
  <c r="LH5" i="13" s="1"/>
  <c r="LI5" i="13" s="1"/>
  <c r="LJ5" i="13" s="1"/>
  <c r="LK5" i="13" s="1"/>
  <c r="LL5" i="13" s="1"/>
  <c r="LM5" i="13" s="1"/>
  <c r="LN5" i="13" s="1"/>
  <c r="LO5" i="13" s="1"/>
  <c r="LP5" i="13" s="1"/>
  <c r="LQ5" i="13" s="1"/>
  <c r="LR5" i="13" s="1"/>
  <c r="LS5" i="13" s="1"/>
  <c r="LT5" i="13" s="1"/>
  <c r="LU5" i="13" s="1"/>
  <c r="LV5" i="13" s="1"/>
  <c r="LW5" i="13" s="1"/>
  <c r="LX5" i="13" s="1"/>
  <c r="LY5" i="13" s="1"/>
  <c r="LZ5" i="13" s="1"/>
  <c r="MA5" i="13" s="1"/>
  <c r="MB5" i="13" s="1"/>
  <c r="MC5" i="13" s="1"/>
  <c r="MD5" i="13" s="1"/>
  <c r="ME5" i="13" s="1"/>
  <c r="MF5" i="13" s="1"/>
  <c r="MG5" i="13" s="1"/>
  <c r="MH5" i="13" s="1"/>
  <c r="MI5" i="13" s="1"/>
  <c r="MJ5" i="13" s="1"/>
  <c r="MK5" i="13" s="1"/>
  <c r="ML5" i="13" s="1"/>
  <c r="MM5" i="13" s="1"/>
  <c r="MN5" i="13" s="1"/>
  <c r="MO5" i="13" s="1"/>
  <c r="MP5" i="13" s="1"/>
  <c r="MQ5" i="13" s="1"/>
  <c r="MR5" i="13" s="1"/>
  <c r="MS5" i="13" s="1"/>
  <c r="MT5" i="13" s="1"/>
  <c r="MU5" i="13" s="1"/>
  <c r="MV5" i="13" s="1"/>
  <c r="MW5" i="13" s="1"/>
  <c r="MX5" i="13" s="1"/>
  <c r="MY5" i="13" s="1"/>
  <c r="MZ5" i="13" s="1"/>
  <c r="NA5" i="13" s="1"/>
  <c r="NB5" i="13" s="1"/>
  <c r="NC5" i="13" s="1"/>
  <c r="ND5" i="13" s="1"/>
  <c r="NE5" i="13" s="1"/>
  <c r="NF5" i="13" s="1"/>
  <c r="NG5" i="13" s="1"/>
  <c r="NH5" i="13" s="1"/>
  <c r="NI5" i="13" s="1"/>
  <c r="NJ5" i="13" s="1"/>
  <c r="NK5" i="13" s="1"/>
  <c r="NL5" i="13" s="1"/>
  <c r="NM5" i="13" s="1"/>
  <c r="NN5" i="13" s="1"/>
  <c r="NO5" i="13" s="1"/>
  <c r="NP5" i="13" s="1"/>
  <c r="NQ5" i="13" s="1"/>
  <c r="NR5" i="13" s="1"/>
  <c r="NS5" i="13" s="1"/>
  <c r="NT5" i="13" s="1"/>
  <c r="NU5" i="13" s="1"/>
  <c r="NV5" i="13" s="1"/>
  <c r="NW5" i="13" s="1"/>
  <c r="NX5" i="13" s="1"/>
  <c r="NY5" i="13" s="1"/>
  <c r="NZ5" i="13" s="1"/>
  <c r="OA5" i="13" s="1"/>
  <c r="OB5" i="13" s="1"/>
  <c r="OC5" i="13" s="1"/>
  <c r="OD5" i="13" s="1"/>
  <c r="OE5" i="13" s="1"/>
  <c r="OF5" i="13" s="1"/>
  <c r="OG5" i="13" s="1"/>
  <c r="OH5" i="13" s="1"/>
  <c r="OI5" i="13" s="1"/>
  <c r="OJ5" i="13" s="1"/>
  <c r="OK5" i="13" s="1"/>
  <c r="OL5" i="13" s="1"/>
  <c r="OM5" i="13" s="1"/>
  <c r="ON5" i="13" s="1"/>
  <c r="OO5" i="13" s="1"/>
  <c r="OP5" i="13" s="1"/>
  <c r="OQ5" i="13" s="1"/>
  <c r="OR5" i="13" s="1"/>
  <c r="OS5" i="13" s="1"/>
  <c r="OT5" i="13" s="1"/>
  <c r="OU5" i="13" s="1"/>
  <c r="OV5" i="13" s="1"/>
  <c r="OW5" i="13" s="1"/>
  <c r="OX5" i="13" s="1"/>
  <c r="OY5" i="13" s="1"/>
  <c r="OZ5" i="13" s="1"/>
  <c r="PA5" i="13" s="1"/>
  <c r="PB5" i="13" s="1"/>
  <c r="PC5" i="13" s="1"/>
  <c r="PD5" i="13" s="1"/>
  <c r="PE5" i="13" s="1"/>
  <c r="PF5" i="13" s="1"/>
  <c r="PG5" i="13" s="1"/>
  <c r="PH5" i="13" s="1"/>
  <c r="PI5" i="13" s="1"/>
  <c r="PJ5" i="13" s="1"/>
  <c r="PK5" i="13" s="1"/>
  <c r="PL5" i="13" s="1"/>
  <c r="PM5" i="13" s="1"/>
  <c r="PN5" i="13" s="1"/>
  <c r="PO5" i="13" s="1"/>
  <c r="PP5" i="13" s="1"/>
  <c r="PQ5" i="13" s="1"/>
  <c r="PR5" i="13" s="1"/>
  <c r="PS5" i="13" s="1"/>
  <c r="PT5" i="13" s="1"/>
  <c r="PU5" i="13" s="1"/>
  <c r="PV5" i="13" s="1"/>
  <c r="PW5" i="13" s="1"/>
  <c r="PX5" i="13" s="1"/>
  <c r="PY5" i="13" s="1"/>
  <c r="PZ5" i="13" s="1"/>
  <c r="QA5" i="13" s="1"/>
  <c r="QB5" i="13" s="1"/>
  <c r="QC5" i="13" s="1"/>
  <c r="QD5" i="13" s="1"/>
  <c r="QE5" i="13" s="1"/>
  <c r="QF5" i="13" s="1"/>
  <c r="QG5" i="13" s="1"/>
  <c r="QH5" i="13" s="1"/>
  <c r="QI5" i="13" s="1"/>
  <c r="QJ5" i="13" s="1"/>
  <c r="QK5" i="13" s="1"/>
  <c r="QL5" i="13" s="1"/>
  <c r="QM5" i="13" s="1"/>
  <c r="QN5" i="13" s="1"/>
  <c r="QO5" i="13" s="1"/>
  <c r="QP5" i="13" s="1"/>
  <c r="QQ5" i="13" s="1"/>
  <c r="QR5" i="13" s="1"/>
  <c r="QS5" i="13" s="1"/>
  <c r="QT5" i="13" s="1"/>
  <c r="QU5" i="13" s="1"/>
  <c r="QV5" i="13" s="1"/>
  <c r="QW5" i="13" s="1"/>
  <c r="QX5" i="13" s="1"/>
  <c r="QY5" i="13" s="1"/>
  <c r="QZ5" i="13" s="1"/>
  <c r="RA5" i="13" s="1"/>
  <c r="RB5" i="13" s="1"/>
  <c r="RC5" i="13" s="1"/>
  <c r="RD5" i="13" s="1"/>
  <c r="RE5" i="13" s="1"/>
  <c r="RF5" i="13" s="1"/>
  <c r="RG5" i="13" s="1"/>
  <c r="RH5" i="13" s="1"/>
  <c r="RI5" i="13" s="1"/>
  <c r="RJ5" i="13" s="1"/>
  <c r="RK5" i="13" s="1"/>
  <c r="RL5" i="13" s="1"/>
  <c r="RM5" i="13" s="1"/>
  <c r="RN5" i="13" s="1"/>
  <c r="RO5" i="13" s="1"/>
  <c r="RP5" i="13" s="1"/>
  <c r="RQ5" i="13" s="1"/>
  <c r="RR5" i="13" s="1"/>
  <c r="RS5" i="13" s="1"/>
  <c r="RT5" i="13" s="1"/>
  <c r="RU5" i="13" s="1"/>
  <c r="RV5" i="13" s="1"/>
  <c r="RW5" i="13" s="1"/>
  <c r="RX5" i="13" s="1"/>
  <c r="RY5" i="13" s="1"/>
  <c r="RZ5" i="13" s="1"/>
  <c r="SA5" i="13" s="1"/>
  <c r="SB5" i="13" s="1"/>
  <c r="SC5" i="13" s="1"/>
  <c r="SD5" i="13" s="1"/>
  <c r="SE5" i="13" s="1"/>
  <c r="SF5" i="13" s="1"/>
  <c r="SG5" i="13" s="1"/>
  <c r="SH5" i="13" s="1"/>
  <c r="SI5" i="13" s="1"/>
  <c r="SJ5" i="13" s="1"/>
  <c r="SK5" i="13" s="1"/>
  <c r="SL5" i="13" s="1"/>
  <c r="SM5" i="13" s="1"/>
  <c r="SN5" i="13" s="1"/>
  <c r="SO5" i="13" s="1"/>
  <c r="SP5" i="13" s="1"/>
  <c r="SQ5" i="13" s="1"/>
  <c r="SR5" i="13" s="1"/>
  <c r="SS5" i="13" s="1"/>
  <c r="ST5" i="13" s="1"/>
  <c r="SU5" i="13" s="1"/>
  <c r="SV5" i="13" s="1"/>
  <c r="SW5" i="13" s="1"/>
  <c r="SX5" i="13" s="1"/>
  <c r="SY5" i="13" s="1"/>
  <c r="SZ5" i="13" s="1"/>
  <c r="TA5" i="13" s="1"/>
  <c r="TB5" i="13" s="1"/>
  <c r="TC5" i="13" s="1"/>
  <c r="TD5" i="13" s="1"/>
  <c r="TE5" i="13" s="1"/>
  <c r="TF5" i="13" s="1"/>
  <c r="TG5" i="13" s="1"/>
  <c r="TH5" i="13" s="1"/>
  <c r="TI5" i="13" s="1"/>
  <c r="TJ5" i="13" s="1"/>
  <c r="TK5" i="13" s="1"/>
  <c r="TL5" i="13" s="1"/>
  <c r="TM5" i="13" s="1"/>
  <c r="TN5" i="13" s="1"/>
  <c r="TO5" i="13" s="1"/>
  <c r="TP5" i="13" s="1"/>
  <c r="TQ5" i="13" s="1"/>
  <c r="TR5" i="13" s="1"/>
  <c r="TS5" i="13" s="1"/>
  <c r="TT5" i="13" s="1"/>
  <c r="TU5" i="13" s="1"/>
  <c r="TV5" i="13" s="1"/>
  <c r="TW5" i="13" s="1"/>
  <c r="TX5" i="13" s="1"/>
  <c r="TY5" i="13" s="1"/>
  <c r="TZ5" i="13" s="1"/>
  <c r="UA5" i="13" s="1"/>
  <c r="UB5" i="13" s="1"/>
  <c r="UC5" i="13" s="1"/>
  <c r="UD5" i="13" s="1"/>
  <c r="UE5" i="13" s="1"/>
  <c r="UF5" i="13" s="1"/>
  <c r="UG5" i="13" s="1"/>
  <c r="UH5" i="13" s="1"/>
  <c r="UI5" i="13" s="1"/>
  <c r="UJ5" i="13" s="1"/>
  <c r="UK5" i="13" s="1"/>
  <c r="UL5" i="13" s="1"/>
  <c r="UM5" i="13" s="1"/>
  <c r="UN5" i="13" s="1"/>
  <c r="UO5" i="13" s="1"/>
  <c r="UP5" i="13" s="1"/>
  <c r="UQ5" i="13" s="1"/>
  <c r="UR5" i="13" s="1"/>
  <c r="US5" i="13" s="1"/>
  <c r="UT5" i="13" s="1"/>
  <c r="UU5" i="13" s="1"/>
  <c r="UV5" i="13" s="1"/>
  <c r="UW5" i="13" s="1"/>
  <c r="UX5" i="13" s="1"/>
  <c r="UY5" i="13" s="1"/>
  <c r="UZ5" i="13" s="1"/>
  <c r="VA5" i="13" s="1"/>
  <c r="VB5" i="13" s="1"/>
  <c r="VC5" i="13" s="1"/>
  <c r="VD5" i="13" s="1"/>
  <c r="VE5" i="13" s="1"/>
  <c r="VF5" i="13" s="1"/>
  <c r="VG5" i="13" s="1"/>
  <c r="VH5" i="13" s="1"/>
  <c r="VI5" i="13" s="1"/>
  <c r="VJ5" i="13" s="1"/>
  <c r="VK5" i="13" s="1"/>
  <c r="VL5" i="13" s="1"/>
  <c r="VM5" i="13" s="1"/>
  <c r="VN5" i="13" s="1"/>
  <c r="VO5" i="13" s="1"/>
  <c r="VP5" i="13" s="1"/>
  <c r="VQ5" i="13" s="1"/>
  <c r="VR5" i="13" s="1"/>
  <c r="VS5" i="13" s="1"/>
  <c r="VT5" i="13" s="1"/>
  <c r="VU5" i="13" s="1"/>
  <c r="VV5" i="13" s="1"/>
  <c r="VW5" i="13" s="1"/>
  <c r="VX5" i="13" s="1"/>
  <c r="VY5" i="13" s="1"/>
  <c r="VZ5" i="13" s="1"/>
  <c r="WA5" i="13" s="1"/>
  <c r="WB5" i="13" s="1"/>
  <c r="WC5" i="13" s="1"/>
  <c r="WD5" i="13" s="1"/>
  <c r="WE5" i="13" s="1"/>
  <c r="WF5" i="13" s="1"/>
  <c r="WG5" i="13" s="1"/>
  <c r="WH5" i="13" s="1"/>
  <c r="WI5" i="13" s="1"/>
  <c r="WJ5" i="13" s="1"/>
  <c r="WK5" i="13" s="1"/>
  <c r="WL5" i="13" s="1"/>
  <c r="WM5" i="13" s="1"/>
  <c r="WN5" i="13" s="1"/>
  <c r="WO5" i="13" s="1"/>
  <c r="WP5" i="13" s="1"/>
  <c r="WQ5" i="13" s="1"/>
  <c r="WR5" i="13" s="1"/>
  <c r="WS5" i="13" s="1"/>
  <c r="WT5" i="13" s="1"/>
  <c r="WU5" i="13" s="1"/>
  <c r="WV5" i="13" s="1"/>
  <c r="WW5" i="13" s="1"/>
  <c r="WX5" i="13" s="1"/>
  <c r="WY5" i="13" s="1"/>
  <c r="WZ5" i="13" s="1"/>
  <c r="XA5" i="13" s="1"/>
  <c r="XB5" i="13" s="1"/>
  <c r="XC5" i="13" s="1"/>
  <c r="XD5" i="13" s="1"/>
  <c r="XE5" i="13" s="1"/>
  <c r="XF5" i="13" s="1"/>
  <c r="XG5" i="13" s="1"/>
  <c r="XH5" i="13" s="1"/>
  <c r="XI5" i="13" s="1"/>
  <c r="XJ5" i="13" s="1"/>
  <c r="XK5" i="13" s="1"/>
  <c r="XL5" i="13" s="1"/>
  <c r="XM5" i="13" s="1"/>
  <c r="XN5" i="13" s="1"/>
  <c r="XO5" i="13" s="1"/>
  <c r="XP5" i="13" s="1"/>
  <c r="XQ5" i="13" s="1"/>
  <c r="XR5" i="13" s="1"/>
  <c r="XS5" i="13" s="1"/>
  <c r="XT5" i="13" s="1"/>
  <c r="XU5" i="13" s="1"/>
  <c r="XV5" i="13" s="1"/>
  <c r="XW5" i="13" s="1"/>
  <c r="XX5" i="13" s="1"/>
  <c r="XY5" i="13" s="1"/>
  <c r="XZ5" i="13" s="1"/>
  <c r="YA5" i="13" s="1"/>
  <c r="YB5" i="13" s="1"/>
  <c r="YC5" i="13" s="1"/>
  <c r="YD5" i="13" s="1"/>
  <c r="YE5" i="13" s="1"/>
  <c r="YF5" i="13" s="1"/>
  <c r="YG5" i="13" s="1"/>
  <c r="YH5" i="13" s="1"/>
  <c r="YI5" i="13" s="1"/>
  <c r="YJ5" i="13" s="1"/>
  <c r="YK5" i="13" s="1"/>
  <c r="YL5" i="13" s="1"/>
  <c r="YM5" i="13" s="1"/>
  <c r="YN5" i="13" s="1"/>
  <c r="YO5" i="13" s="1"/>
  <c r="YP5" i="13" s="1"/>
  <c r="YQ5" i="13" s="1"/>
  <c r="YR5" i="13" s="1"/>
  <c r="YS5" i="13" s="1"/>
  <c r="YT5" i="13" s="1"/>
  <c r="YU5" i="13" s="1"/>
  <c r="YV5" i="13" s="1"/>
  <c r="YW5" i="13" s="1"/>
  <c r="YX5" i="13" s="1"/>
  <c r="YY5" i="13" s="1"/>
  <c r="YZ5" i="13" s="1"/>
  <c r="ZA5" i="13" s="1"/>
  <c r="ZB5" i="13" s="1"/>
  <c r="ZC5" i="13" s="1"/>
  <c r="ZD5" i="13" s="1"/>
  <c r="ZE5" i="13" s="1"/>
  <c r="ZF5" i="13" s="1"/>
  <c r="ZG5" i="13" s="1"/>
  <c r="ZH5" i="13" s="1"/>
  <c r="ZI5" i="13" s="1"/>
  <c r="ZJ5" i="13" s="1"/>
  <c r="ZK5" i="13" s="1"/>
  <c r="ZL5" i="13" s="1"/>
  <c r="ZM5" i="13" s="1"/>
  <c r="ZN5" i="13" s="1"/>
  <c r="ZO5" i="13" s="1"/>
  <c r="ZP5" i="13" s="1"/>
  <c r="ZQ5" i="13" s="1"/>
  <c r="ZR5" i="13" s="1"/>
  <c r="ZS5" i="13" s="1"/>
  <c r="ZT5" i="13" s="1"/>
  <c r="ZU5" i="13" s="1"/>
  <c r="ZV5" i="13" s="1"/>
  <c r="ZW5" i="13" s="1"/>
  <c r="ZX5" i="13" s="1"/>
  <c r="ZY5" i="13" s="1"/>
  <c r="ZZ5" i="13" s="1"/>
  <c r="C15" i="1"/>
  <c r="D15" i="1" s="1"/>
  <c r="AQ22" i="12" l="1"/>
  <c r="AS22" i="12"/>
  <c r="AL22" i="12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CV15" i="1" s="1"/>
  <c r="CW15" i="1" s="1"/>
  <c r="CX15" i="1" s="1"/>
  <c r="CY15" i="1" s="1"/>
  <c r="CZ15" i="1" s="1"/>
  <c r="DA15" i="1" s="1"/>
  <c r="DB15" i="1" s="1"/>
  <c r="DC15" i="1" s="1"/>
  <c r="DD15" i="1" s="1"/>
  <c r="DE15" i="1" s="1"/>
  <c r="DF15" i="1" s="1"/>
  <c r="DG15" i="1" s="1"/>
  <c r="DH15" i="1" s="1"/>
  <c r="DI15" i="1" s="1"/>
  <c r="DJ15" i="1" s="1"/>
  <c r="DK15" i="1" s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V15" i="1" s="1"/>
  <c r="DW15" i="1" s="1"/>
  <c r="DX15" i="1" s="1"/>
  <c r="DY15" i="1" s="1"/>
  <c r="DZ15" i="1" s="1"/>
  <c r="EA15" i="1" s="1"/>
  <c r="EB15" i="1" s="1"/>
  <c r="EC15" i="1" s="1"/>
  <c r="ED15" i="1" s="1"/>
  <c r="EE15" i="1" s="1"/>
  <c r="EF15" i="1" s="1"/>
  <c r="EG15" i="1" s="1"/>
  <c r="EH15" i="1" s="1"/>
  <c r="EI15" i="1" s="1"/>
  <c r="EJ15" i="1" s="1"/>
  <c r="EK15" i="1" s="1"/>
  <c r="EL15" i="1" s="1"/>
  <c r="EM15" i="1" s="1"/>
  <c r="EN15" i="1" s="1"/>
  <c r="EO15" i="1" s="1"/>
  <c r="EP15" i="1" s="1"/>
  <c r="EQ15" i="1" s="1"/>
  <c r="ER15" i="1" s="1"/>
  <c r="ES15" i="1" s="1"/>
  <c r="ET15" i="1" s="1"/>
  <c r="EU15" i="1" s="1"/>
  <c r="EV15" i="1" s="1"/>
  <c r="EW15" i="1" s="1"/>
  <c r="EX15" i="1" s="1"/>
  <c r="EY15" i="1" s="1"/>
  <c r="EZ15" i="1" s="1"/>
  <c r="FA15" i="1" s="1"/>
  <c r="FB15" i="1" s="1"/>
  <c r="FC15" i="1" s="1"/>
  <c r="FD15" i="1" s="1"/>
  <c r="FE15" i="1" s="1"/>
  <c r="FF15" i="1" s="1"/>
  <c r="FG15" i="1" s="1"/>
  <c r="FH15" i="1" s="1"/>
  <c r="FI15" i="1" s="1"/>
  <c r="FJ15" i="1" s="1"/>
  <c r="FK15" i="1" s="1"/>
  <c r="FL15" i="1" s="1"/>
  <c r="FM15" i="1" s="1"/>
  <c r="FN15" i="1" s="1"/>
  <c r="FO15" i="1" s="1"/>
  <c r="FP15" i="1" s="1"/>
  <c r="FQ15" i="1" s="1"/>
  <c r="FR15" i="1" s="1"/>
  <c r="FS15" i="1" s="1"/>
  <c r="FT15" i="1" s="1"/>
  <c r="FU15" i="1" s="1"/>
  <c r="FV15" i="1" s="1"/>
  <c r="FW15" i="1" s="1"/>
  <c r="FX15" i="1" s="1"/>
  <c r="FY15" i="1" s="1"/>
  <c r="FZ15" i="1" s="1"/>
  <c r="GA15" i="1" s="1"/>
  <c r="GB15" i="1" s="1"/>
  <c r="GC15" i="1" s="1"/>
  <c r="GD15" i="1" s="1"/>
  <c r="GE15" i="1" s="1"/>
  <c r="GF15" i="1" s="1"/>
  <c r="GG15" i="1" s="1"/>
  <c r="GH15" i="1" s="1"/>
  <c r="GI15" i="1" s="1"/>
  <c r="GJ15" i="1" s="1"/>
  <c r="GK15" i="1" s="1"/>
  <c r="GL15" i="1" s="1"/>
  <c r="GM15" i="1" s="1"/>
  <c r="GN15" i="1" s="1"/>
  <c r="GO15" i="1" s="1"/>
  <c r="GP15" i="1" s="1"/>
  <c r="GQ15" i="1" s="1"/>
  <c r="GR15" i="1" s="1"/>
  <c r="GS15" i="1" s="1"/>
  <c r="GT15" i="1" s="1"/>
  <c r="GU15" i="1" s="1"/>
  <c r="GV15" i="1" s="1"/>
  <c r="GW15" i="1" s="1"/>
  <c r="GX15" i="1" s="1"/>
  <c r="GY15" i="1" s="1"/>
  <c r="GZ15" i="1" s="1"/>
  <c r="HA15" i="1" s="1"/>
  <c r="HB15" i="1" s="1"/>
  <c r="HC15" i="1" s="1"/>
  <c r="HD15" i="1" s="1"/>
  <c r="HE15" i="1" s="1"/>
  <c r="HF15" i="1" s="1"/>
  <c r="HG15" i="1" s="1"/>
  <c r="HH15" i="1" s="1"/>
  <c r="HI15" i="1" s="1"/>
  <c r="HJ15" i="1" s="1"/>
  <c r="HK15" i="1" s="1"/>
  <c r="HL15" i="1" s="1"/>
  <c r="HM15" i="1" s="1"/>
  <c r="HN15" i="1" s="1"/>
  <c r="HO15" i="1" s="1"/>
  <c r="HP15" i="1" s="1"/>
  <c r="HQ15" i="1" s="1"/>
  <c r="HR15" i="1" s="1"/>
  <c r="HS15" i="1" s="1"/>
  <c r="HT15" i="1" s="1"/>
  <c r="HU15" i="1" s="1"/>
  <c r="HV15" i="1" s="1"/>
  <c r="HW15" i="1" s="1"/>
  <c r="HX15" i="1" s="1"/>
  <c r="HY15" i="1" s="1"/>
  <c r="HZ15" i="1" s="1"/>
  <c r="IA15" i="1" s="1"/>
  <c r="IB15" i="1" s="1"/>
  <c r="IC15" i="1" s="1"/>
  <c r="ID15" i="1" s="1"/>
  <c r="IE15" i="1" s="1"/>
  <c r="IF15" i="1" s="1"/>
  <c r="IG15" i="1" s="1"/>
  <c r="IH15" i="1" s="1"/>
  <c r="II15" i="1" s="1"/>
  <c r="IJ15" i="1" s="1"/>
  <c r="IK15" i="1" s="1"/>
  <c r="IL15" i="1" s="1"/>
  <c r="IM15" i="1" s="1"/>
  <c r="IN15" i="1" s="1"/>
  <c r="IO15" i="1" s="1"/>
  <c r="IP15" i="1" s="1"/>
  <c r="IQ15" i="1" s="1"/>
  <c r="IR15" i="1" s="1"/>
  <c r="IS15" i="1" s="1"/>
  <c r="IT15" i="1" s="1"/>
  <c r="IU15" i="1" s="1"/>
  <c r="IV15" i="1" s="1"/>
  <c r="IW15" i="1" s="1"/>
  <c r="IX15" i="1" s="1"/>
  <c r="IY15" i="1" s="1"/>
  <c r="IZ15" i="1" s="1"/>
  <c r="JA15" i="1" s="1"/>
  <c r="JB15" i="1" s="1"/>
  <c r="JC15" i="1" s="1"/>
  <c r="JD15" i="1" s="1"/>
  <c r="JE15" i="1" s="1"/>
  <c r="JF15" i="1" s="1"/>
  <c r="JG15" i="1" s="1"/>
  <c r="JH15" i="1" s="1"/>
  <c r="JI15" i="1" s="1"/>
  <c r="JJ15" i="1" s="1"/>
  <c r="JK15" i="1" s="1"/>
  <c r="JL15" i="1" s="1"/>
  <c r="JM15" i="1" s="1"/>
  <c r="JN15" i="1" s="1"/>
  <c r="JO15" i="1" s="1"/>
  <c r="JP15" i="1" s="1"/>
  <c r="JQ15" i="1" s="1"/>
  <c r="JR15" i="1" s="1"/>
  <c r="JS15" i="1" s="1"/>
  <c r="JT15" i="1" s="1"/>
  <c r="JU15" i="1" s="1"/>
  <c r="JV15" i="1" s="1"/>
  <c r="JW15" i="1" s="1"/>
  <c r="JX15" i="1" s="1"/>
  <c r="JY15" i="1" s="1"/>
  <c r="JZ15" i="1" s="1"/>
  <c r="KA15" i="1" s="1"/>
  <c r="KB15" i="1" s="1"/>
  <c r="KC15" i="1" s="1"/>
  <c r="KD15" i="1" s="1"/>
  <c r="KE15" i="1" s="1"/>
  <c r="KF15" i="1" s="1"/>
  <c r="KG15" i="1" s="1"/>
  <c r="KH15" i="1" s="1"/>
  <c r="KI15" i="1" s="1"/>
  <c r="KJ15" i="1" s="1"/>
  <c r="KK15" i="1" s="1"/>
  <c r="KL15" i="1" s="1"/>
  <c r="KM15" i="1" s="1"/>
  <c r="KN15" i="1" s="1"/>
  <c r="KO15" i="1" s="1"/>
  <c r="KP15" i="1" s="1"/>
  <c r="KQ15" i="1" s="1"/>
  <c r="KR15" i="1" s="1"/>
  <c r="KS15" i="1" s="1"/>
  <c r="KT15" i="1" s="1"/>
  <c r="KU15" i="1" s="1"/>
  <c r="KV15" i="1" s="1"/>
  <c r="KW15" i="1" s="1"/>
  <c r="KX15" i="1" s="1"/>
  <c r="KY15" i="1" s="1"/>
  <c r="KZ15" i="1" s="1"/>
  <c r="LA15" i="1" s="1"/>
  <c r="LB15" i="1" s="1"/>
  <c r="LC15" i="1" s="1"/>
  <c r="LD15" i="1" s="1"/>
  <c r="LE15" i="1" s="1"/>
  <c r="LF15" i="1" s="1"/>
  <c r="LG15" i="1" s="1"/>
  <c r="LH15" i="1" s="1"/>
  <c r="LI15" i="1" s="1"/>
  <c r="LJ15" i="1" s="1"/>
  <c r="LK15" i="1" s="1"/>
  <c r="LL15" i="1" s="1"/>
  <c r="LM15" i="1" s="1"/>
  <c r="LN15" i="1" s="1"/>
  <c r="LO15" i="1" s="1"/>
  <c r="LP15" i="1" s="1"/>
  <c r="LQ15" i="1" s="1"/>
  <c r="LR15" i="1" s="1"/>
  <c r="LS15" i="1" s="1"/>
  <c r="LT15" i="1" s="1"/>
  <c r="LU15" i="1" s="1"/>
  <c r="LV15" i="1" s="1"/>
  <c r="LW15" i="1" s="1"/>
  <c r="LX15" i="1" s="1"/>
  <c r="LY15" i="1" s="1"/>
  <c r="LZ15" i="1" s="1"/>
  <c r="MA15" i="1" s="1"/>
  <c r="MB15" i="1" s="1"/>
  <c r="MC15" i="1" s="1"/>
  <c r="MD15" i="1" s="1"/>
  <c r="ME15" i="1" s="1"/>
  <c r="MF15" i="1" s="1"/>
  <c r="MG15" i="1" s="1"/>
  <c r="MH15" i="1" s="1"/>
  <c r="MI15" i="1" s="1"/>
  <c r="MJ15" i="1" s="1"/>
  <c r="MK15" i="1" s="1"/>
  <c r="ML15" i="1" s="1"/>
  <c r="MM15" i="1" s="1"/>
  <c r="MN15" i="1" s="1"/>
  <c r="MO15" i="1" s="1"/>
  <c r="MP15" i="1" s="1"/>
  <c r="MQ15" i="1" s="1"/>
  <c r="MR15" i="1" s="1"/>
  <c r="MS15" i="1" s="1"/>
  <c r="MT15" i="1" s="1"/>
  <c r="MU15" i="1" s="1"/>
  <c r="MV15" i="1" s="1"/>
  <c r="MW15" i="1" s="1"/>
  <c r="MX15" i="1" s="1"/>
  <c r="MY15" i="1" s="1"/>
  <c r="MZ15" i="1" s="1"/>
  <c r="NA15" i="1" s="1"/>
  <c r="NB15" i="1" s="1"/>
  <c r="NC15" i="1" s="1"/>
  <c r="ND15" i="1" s="1"/>
  <c r="NE15" i="1" s="1"/>
  <c r="NF15" i="1" s="1"/>
  <c r="NG15" i="1" s="1"/>
  <c r="NH15" i="1" s="1"/>
  <c r="NI15" i="1" s="1"/>
  <c r="NJ15" i="1" s="1"/>
  <c r="NK15" i="1" s="1"/>
  <c r="NL15" i="1" s="1"/>
  <c r="NM15" i="1" s="1"/>
  <c r="NN15" i="1" s="1"/>
  <c r="NO15" i="1" s="1"/>
  <c r="NP15" i="1" s="1"/>
  <c r="NQ15" i="1" s="1"/>
  <c r="NR15" i="1" s="1"/>
  <c r="NS15" i="1" s="1"/>
  <c r="NT15" i="1" s="1"/>
  <c r="NU15" i="1" s="1"/>
  <c r="NV15" i="1" s="1"/>
  <c r="NW15" i="1" s="1"/>
  <c r="NX15" i="1" s="1"/>
  <c r="NY15" i="1" s="1"/>
  <c r="NZ15" i="1" s="1"/>
  <c r="OA15" i="1" s="1"/>
  <c r="OB15" i="1" s="1"/>
  <c r="OC15" i="1" s="1"/>
  <c r="OD15" i="1" s="1"/>
  <c r="OE15" i="1" s="1"/>
  <c r="OF15" i="1" s="1"/>
  <c r="OG15" i="1" s="1"/>
  <c r="OH15" i="1" s="1"/>
  <c r="OI15" i="1" s="1"/>
  <c r="OJ15" i="1" s="1"/>
  <c r="OK15" i="1" s="1"/>
  <c r="OL15" i="1" s="1"/>
  <c r="OM15" i="1" s="1"/>
  <c r="ON15" i="1" s="1"/>
  <c r="OO15" i="1" s="1"/>
  <c r="OP15" i="1" s="1"/>
  <c r="OQ15" i="1" s="1"/>
  <c r="OR15" i="1" s="1"/>
  <c r="OS15" i="1" s="1"/>
  <c r="OT15" i="1" s="1"/>
  <c r="OU15" i="1" s="1"/>
  <c r="OV15" i="1" s="1"/>
  <c r="OW15" i="1" s="1"/>
  <c r="OX15" i="1" s="1"/>
  <c r="OY15" i="1" s="1"/>
  <c r="OZ15" i="1" s="1"/>
  <c r="PA15" i="1" s="1"/>
  <c r="PB15" i="1" s="1"/>
  <c r="PC15" i="1" s="1"/>
  <c r="PD15" i="1" s="1"/>
  <c r="PE15" i="1" s="1"/>
  <c r="PF15" i="1" s="1"/>
  <c r="PG15" i="1" s="1"/>
  <c r="PH15" i="1" s="1"/>
  <c r="PI15" i="1" s="1"/>
  <c r="PJ15" i="1" s="1"/>
  <c r="PK15" i="1" s="1"/>
  <c r="PL15" i="1" s="1"/>
  <c r="PM15" i="1" s="1"/>
  <c r="PN15" i="1" s="1"/>
  <c r="PO15" i="1" s="1"/>
  <c r="PP15" i="1" s="1"/>
  <c r="PQ15" i="1" s="1"/>
  <c r="PR15" i="1" s="1"/>
  <c r="PS15" i="1" s="1"/>
  <c r="PT15" i="1" s="1"/>
  <c r="PU15" i="1" s="1"/>
  <c r="PV15" i="1" s="1"/>
  <c r="PW15" i="1" s="1"/>
  <c r="PX15" i="1" s="1"/>
  <c r="PY15" i="1" s="1"/>
  <c r="PZ15" i="1" s="1"/>
  <c r="QA15" i="1" s="1"/>
  <c r="QB15" i="1" s="1"/>
  <c r="QC15" i="1" s="1"/>
  <c r="QD15" i="1" s="1"/>
  <c r="QE15" i="1" s="1"/>
  <c r="QF15" i="1" s="1"/>
  <c r="QG15" i="1" s="1"/>
  <c r="QH15" i="1" s="1"/>
  <c r="QI15" i="1" s="1"/>
  <c r="QJ15" i="1" s="1"/>
  <c r="QK15" i="1" s="1"/>
  <c r="QL15" i="1" s="1"/>
  <c r="QM15" i="1" s="1"/>
  <c r="QN15" i="1" s="1"/>
  <c r="QO15" i="1" s="1"/>
  <c r="QP15" i="1" s="1"/>
  <c r="QQ15" i="1" s="1"/>
  <c r="QR15" i="1" s="1"/>
  <c r="QS15" i="1" s="1"/>
  <c r="QT15" i="1" s="1"/>
  <c r="QU15" i="1" s="1"/>
  <c r="QV15" i="1" s="1"/>
  <c r="QW15" i="1" s="1"/>
  <c r="QX15" i="1" s="1"/>
  <c r="QY15" i="1" s="1"/>
  <c r="QZ15" i="1" s="1"/>
  <c r="RA15" i="1" s="1"/>
  <c r="RB15" i="1" s="1"/>
  <c r="RC15" i="1" s="1"/>
  <c r="RD15" i="1" s="1"/>
  <c r="RE15" i="1" s="1"/>
  <c r="RF15" i="1" s="1"/>
  <c r="RG15" i="1" s="1"/>
  <c r="RH15" i="1" s="1"/>
  <c r="RI15" i="1" s="1"/>
  <c r="RJ15" i="1" s="1"/>
  <c r="RK15" i="1" s="1"/>
  <c r="RL15" i="1" s="1"/>
  <c r="RM15" i="1" s="1"/>
  <c r="RN15" i="1" s="1"/>
  <c r="RO15" i="1" s="1"/>
  <c r="RP15" i="1" s="1"/>
  <c r="RQ15" i="1" s="1"/>
  <c r="RR15" i="1" s="1"/>
  <c r="RS15" i="1" s="1"/>
  <c r="RT15" i="1" s="1"/>
  <c r="RU15" i="1" s="1"/>
  <c r="RV15" i="1" s="1"/>
  <c r="RW15" i="1" s="1"/>
  <c r="RX15" i="1" s="1"/>
  <c r="RY15" i="1" s="1"/>
  <c r="RZ15" i="1" s="1"/>
  <c r="SA15" i="1" s="1"/>
  <c r="SB15" i="1" s="1"/>
  <c r="SC15" i="1" s="1"/>
  <c r="SD15" i="1" s="1"/>
  <c r="SE15" i="1" s="1"/>
  <c r="SF15" i="1" s="1"/>
  <c r="SG15" i="1" s="1"/>
  <c r="SH15" i="1" s="1"/>
  <c r="SI15" i="1" s="1"/>
  <c r="SJ15" i="1" s="1"/>
  <c r="SK15" i="1" s="1"/>
  <c r="SL15" i="1" s="1"/>
  <c r="SM15" i="1" s="1"/>
  <c r="SN15" i="1" s="1"/>
  <c r="SO15" i="1" s="1"/>
  <c r="SP15" i="1" s="1"/>
  <c r="SQ15" i="1" s="1"/>
  <c r="SR15" i="1" s="1"/>
  <c r="SS15" i="1" s="1"/>
  <c r="ST15" i="1" s="1"/>
  <c r="SU15" i="1" s="1"/>
  <c r="SV15" i="1" s="1"/>
  <c r="SW15" i="1" s="1"/>
  <c r="SX15" i="1" s="1"/>
  <c r="SY15" i="1" s="1"/>
  <c r="SZ15" i="1" s="1"/>
  <c r="TA15" i="1" s="1"/>
  <c r="TB15" i="1" s="1"/>
  <c r="TC15" i="1" s="1"/>
  <c r="TD15" i="1" s="1"/>
  <c r="TE15" i="1" s="1"/>
  <c r="TF15" i="1" s="1"/>
  <c r="TG15" i="1" s="1"/>
  <c r="TH15" i="1" s="1"/>
  <c r="TI15" i="1" s="1"/>
  <c r="TJ15" i="1" s="1"/>
  <c r="TK15" i="1" s="1"/>
  <c r="TL15" i="1" s="1"/>
  <c r="TM15" i="1" s="1"/>
  <c r="TN15" i="1" s="1"/>
  <c r="TO15" i="1" s="1"/>
  <c r="TP15" i="1" s="1"/>
  <c r="TQ15" i="1" s="1"/>
  <c r="TR15" i="1" s="1"/>
  <c r="TS15" i="1" s="1"/>
  <c r="TT15" i="1" s="1"/>
  <c r="TU15" i="1" s="1"/>
  <c r="TV15" i="1" s="1"/>
  <c r="TW15" i="1" s="1"/>
  <c r="TX15" i="1" s="1"/>
  <c r="TY15" i="1" s="1"/>
  <c r="TZ15" i="1" s="1"/>
  <c r="UA15" i="1" s="1"/>
  <c r="UB15" i="1" s="1"/>
  <c r="UC15" i="1" s="1"/>
  <c r="UD15" i="1" s="1"/>
  <c r="UE15" i="1" s="1"/>
  <c r="UF15" i="1" s="1"/>
  <c r="UG15" i="1" s="1"/>
  <c r="UH15" i="1" s="1"/>
  <c r="UI15" i="1" s="1"/>
  <c r="UJ15" i="1" s="1"/>
  <c r="UK15" i="1" s="1"/>
  <c r="UL15" i="1" s="1"/>
  <c r="UM15" i="1" s="1"/>
  <c r="UN15" i="1" s="1"/>
  <c r="UO15" i="1" s="1"/>
  <c r="UP15" i="1" s="1"/>
  <c r="UQ15" i="1" s="1"/>
  <c r="UR15" i="1" s="1"/>
  <c r="US15" i="1" s="1"/>
  <c r="UT15" i="1" s="1"/>
  <c r="UU15" i="1" s="1"/>
  <c r="UV15" i="1" s="1"/>
  <c r="UW15" i="1" s="1"/>
  <c r="UX15" i="1" s="1"/>
  <c r="UY15" i="1" s="1"/>
  <c r="UZ15" i="1" s="1"/>
  <c r="VA15" i="1" s="1"/>
  <c r="VB15" i="1" s="1"/>
  <c r="VC15" i="1" s="1"/>
  <c r="VD15" i="1" s="1"/>
  <c r="VE15" i="1" s="1"/>
  <c r="VF15" i="1" s="1"/>
  <c r="VG15" i="1" s="1"/>
  <c r="VH15" i="1" s="1"/>
  <c r="VI15" i="1" s="1"/>
  <c r="VJ15" i="1" s="1"/>
  <c r="VK15" i="1" s="1"/>
  <c r="VL15" i="1" s="1"/>
  <c r="VM15" i="1" s="1"/>
  <c r="VN15" i="1" s="1"/>
  <c r="VO15" i="1" s="1"/>
  <c r="VP15" i="1" s="1"/>
  <c r="VQ15" i="1" s="1"/>
  <c r="VR15" i="1" s="1"/>
  <c r="VS15" i="1" s="1"/>
  <c r="VT15" i="1" s="1"/>
  <c r="VU15" i="1" s="1"/>
  <c r="VV15" i="1" s="1"/>
  <c r="VW15" i="1" s="1"/>
  <c r="VX15" i="1" s="1"/>
  <c r="VY15" i="1" s="1"/>
  <c r="VZ15" i="1" s="1"/>
  <c r="WA15" i="1" s="1"/>
  <c r="WB15" i="1" s="1"/>
  <c r="WC15" i="1" s="1"/>
  <c r="WD15" i="1" s="1"/>
  <c r="WE15" i="1" s="1"/>
  <c r="WF15" i="1" s="1"/>
  <c r="WG15" i="1" s="1"/>
  <c r="WH15" i="1" s="1"/>
  <c r="WI15" i="1" s="1"/>
  <c r="WJ15" i="1" s="1"/>
  <c r="WK15" i="1" s="1"/>
  <c r="WL15" i="1" s="1"/>
  <c r="WM15" i="1" s="1"/>
  <c r="WN15" i="1" s="1"/>
  <c r="WO15" i="1" s="1"/>
  <c r="WP15" i="1" s="1"/>
  <c r="WQ15" i="1" s="1"/>
  <c r="WR15" i="1" s="1"/>
  <c r="WS15" i="1" s="1"/>
  <c r="WT15" i="1" s="1"/>
  <c r="WU15" i="1" s="1"/>
  <c r="WV15" i="1" s="1"/>
  <c r="WW15" i="1" s="1"/>
  <c r="WX15" i="1" s="1"/>
  <c r="WY15" i="1" s="1"/>
  <c r="WZ15" i="1" s="1"/>
  <c r="XA15" i="1" s="1"/>
  <c r="XB15" i="1" s="1"/>
  <c r="XC15" i="1" s="1"/>
  <c r="XD15" i="1" s="1"/>
  <c r="XE15" i="1" s="1"/>
  <c r="XF15" i="1" s="1"/>
  <c r="XG15" i="1" s="1"/>
  <c r="XH15" i="1" s="1"/>
  <c r="XI15" i="1" s="1"/>
  <c r="XJ15" i="1" s="1"/>
  <c r="XK15" i="1" s="1"/>
  <c r="XL15" i="1" s="1"/>
  <c r="XM15" i="1" s="1"/>
  <c r="XN15" i="1" s="1"/>
  <c r="XO15" i="1" s="1"/>
  <c r="XP15" i="1" s="1"/>
  <c r="XQ15" i="1" s="1"/>
  <c r="XR15" i="1" s="1"/>
  <c r="XS15" i="1" s="1"/>
  <c r="XT15" i="1" s="1"/>
  <c r="XU15" i="1" s="1"/>
  <c r="XV15" i="1" s="1"/>
  <c r="XW15" i="1" s="1"/>
  <c r="XX15" i="1" s="1"/>
  <c r="XY15" i="1" s="1"/>
  <c r="XZ15" i="1" s="1"/>
  <c r="YA15" i="1" s="1"/>
  <c r="YB15" i="1" s="1"/>
  <c r="YC15" i="1" s="1"/>
  <c r="YD15" i="1" s="1"/>
  <c r="YE15" i="1" s="1"/>
  <c r="YF15" i="1" s="1"/>
  <c r="YG15" i="1" s="1"/>
  <c r="YH15" i="1" s="1"/>
  <c r="YI15" i="1" s="1"/>
  <c r="YJ15" i="1" s="1"/>
  <c r="YK15" i="1" s="1"/>
  <c r="YL15" i="1" s="1"/>
  <c r="YM15" i="1" s="1"/>
  <c r="YN15" i="1" s="1"/>
  <c r="YO15" i="1" s="1"/>
  <c r="YP15" i="1" s="1"/>
  <c r="YQ15" i="1" s="1"/>
  <c r="YR15" i="1" s="1"/>
  <c r="YS15" i="1" s="1"/>
  <c r="YT15" i="1" s="1"/>
  <c r="YU15" i="1" s="1"/>
  <c r="YV15" i="1" s="1"/>
  <c r="YW15" i="1" s="1"/>
  <c r="YX15" i="1" s="1"/>
  <c r="YY15" i="1" s="1"/>
  <c r="YZ15" i="1" s="1"/>
  <c r="ZA15" i="1" s="1"/>
  <c r="ZB15" i="1" s="1"/>
  <c r="ZC15" i="1" s="1"/>
  <c r="ZD15" i="1" s="1"/>
  <c r="ZE15" i="1" s="1"/>
  <c r="ZF15" i="1" s="1"/>
  <c r="ZG15" i="1" s="1"/>
  <c r="ZH15" i="1" s="1"/>
  <c r="ZI15" i="1" s="1"/>
  <c r="ZJ15" i="1" s="1"/>
  <c r="ZK15" i="1" s="1"/>
  <c r="ZL15" i="1" s="1"/>
  <c r="ZM15" i="1" s="1"/>
  <c r="ZN15" i="1" s="1"/>
  <c r="ZO15" i="1" s="1"/>
  <c r="ZP15" i="1" s="1"/>
  <c r="ZQ15" i="1" s="1"/>
  <c r="ZR15" i="1" s="1"/>
  <c r="ZS15" i="1" s="1"/>
  <c r="ZT15" i="1" s="1"/>
  <c r="ZU15" i="1" s="1"/>
  <c r="ZV15" i="1" s="1"/>
  <c r="ZW15" i="1" s="1"/>
  <c r="ZX15" i="1" s="1"/>
  <c r="ZY15" i="1" s="1"/>
  <c r="ZZ15" i="1" s="1"/>
  <c r="AV9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8" authorId="0" shapeId="0" xr:uid="{00000000-0006-0000-0000-000001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19" authorId="0" shapeId="0" xr:uid="{00000000-0006-0000-0000-000002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26" authorId="0" shapeId="0" xr:uid="{00000000-0006-0000-0000-000003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27" authorId="0" shapeId="0" xr:uid="{00000000-0006-0000-0000-000004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34" authorId="0" shapeId="0" xr:uid="{00000000-0006-0000-0000-000005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35" authorId="0" shapeId="0" xr:uid="{00000000-0006-0000-0000-000006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42" authorId="0" shapeId="0" xr:uid="{00000000-0006-0000-0000-000007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43" authorId="0" shapeId="0" xr:uid="{00000000-0006-0000-0000-000008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50" authorId="0" shapeId="0" xr:uid="{00000000-0006-0000-0000-000009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51" authorId="0" shapeId="0" xr:uid="{00000000-0006-0000-0000-00000A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58" authorId="0" shapeId="0" xr:uid="{00000000-0006-0000-0000-00000B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59" authorId="0" shapeId="0" xr:uid="{00000000-0006-0000-0000-00000C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66" authorId="0" shapeId="0" xr:uid="{00000000-0006-0000-0000-00000D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67" authorId="0" shapeId="0" xr:uid="{00000000-0006-0000-0000-00000E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74" authorId="0" shapeId="0" xr:uid="{00000000-0006-0000-0000-00000F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75" authorId="0" shapeId="0" xr:uid="{00000000-0006-0000-0000-000010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82" authorId="0" shapeId="0" xr:uid="{00000000-0006-0000-0000-000011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83" authorId="0" shapeId="0" xr:uid="{00000000-0006-0000-0000-000012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90" authorId="0" shapeId="0" xr:uid="{00000000-0006-0000-0000-000013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91" authorId="0" shapeId="0" xr:uid="{00000000-0006-0000-0000-000014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9" authorId="0" shapeId="0" xr:uid="{418D5ED0-A9A8-41AD-99BC-C33897B5A4F9}">
      <text>
        <r>
          <rPr>
            <b/>
            <sz val="9"/>
            <color indexed="81"/>
            <rFont val="Tahoma"/>
            <family val="2"/>
          </rPr>
          <t>Source:</t>
        </r>
        <r>
          <rPr>
            <sz val="9"/>
            <color indexed="81"/>
            <rFont val="Tahoma"/>
            <family val="2"/>
          </rPr>
          <t xml:space="preserve">
https://doi.org/10.2908/ROAD_EQR_CARMOT;
https://doi.org/10.2908/ROAD_EQR_CARPDA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9" authorId="0" shapeId="0" xr:uid="{4B8DD405-0043-4D20-9F96-319880DAAE70}">
      <text>
        <r>
          <rPr>
            <sz val="9"/>
            <color indexed="81"/>
            <rFont val="Tahoma"/>
            <family val="2"/>
          </rPr>
          <t>In relation to the PP recycling input content</t>
        </r>
      </text>
    </comment>
    <comment ref="B10" authorId="0" shapeId="0" xr:uid="{EBF10375-FBCE-4CB6-8E73-CE7047250321}">
      <text>
        <r>
          <rPr>
            <sz val="9"/>
            <color indexed="81"/>
            <rFont val="Tahoma"/>
            <family val="2"/>
          </rPr>
          <t>In relation to the PA recycling input content</t>
        </r>
      </text>
    </comment>
    <comment ref="B11" authorId="0" shapeId="0" xr:uid="{8E6B158C-10CD-41AF-9945-EF7A38D27B28}">
      <text>
        <r>
          <rPr>
            <sz val="9"/>
            <color indexed="81"/>
            <rFont val="Tahoma"/>
            <family val="2"/>
          </rPr>
          <t>In relation to the PC recycling input content</t>
        </r>
      </text>
    </comment>
    <comment ref="B12" authorId="0" shapeId="0" xr:uid="{1648D375-C011-48AD-8248-C15FA13BA5A6}">
      <text>
        <r>
          <rPr>
            <sz val="9"/>
            <color indexed="81"/>
            <rFont val="Tahoma"/>
            <family val="2"/>
          </rPr>
          <t>In relation to the ABS recycling input content</t>
        </r>
      </text>
    </comment>
  </commentList>
</comments>
</file>

<file path=xl/sharedStrings.xml><?xml version="1.0" encoding="utf-8"?>
<sst xmlns="http://schemas.openxmlformats.org/spreadsheetml/2006/main" count="179" uniqueCount="55">
  <si>
    <t>Simulation Model for Circular Plastics in the Automotive Industry</t>
  </si>
  <si>
    <t>vehicle 1</t>
  </si>
  <si>
    <t>total mass [kg]</t>
  </si>
  <si>
    <t>plastic content [%]</t>
  </si>
  <si>
    <t>PP content [%]</t>
  </si>
  <si>
    <t>PA content [%]</t>
  </si>
  <si>
    <t>PC content [%]</t>
  </si>
  <si>
    <t>ABS content [%]</t>
  </si>
  <si>
    <t>number of vehicles</t>
  </si>
  <si>
    <t>vehicle 2</t>
  </si>
  <si>
    <t>vehicle 3</t>
  </si>
  <si>
    <t>vehicle 4</t>
  </si>
  <si>
    <t>vehicle 5</t>
  </si>
  <si>
    <t>vehicle 6</t>
  </si>
  <si>
    <t>vehicle 7</t>
  </si>
  <si>
    <t>vehicle 8</t>
  </si>
  <si>
    <t>vehicle 9</t>
  </si>
  <si>
    <t>vehicle 10</t>
  </si>
  <si>
    <t>vehicle 1 [number]</t>
  </si>
  <si>
    <t>vehicle names</t>
  </si>
  <si>
    <t>CAGR [%]</t>
  </si>
  <si>
    <t>vehicle 2 [number]</t>
  </si>
  <si>
    <t>vehicle 3 [number]</t>
  </si>
  <si>
    <t>vehicle 4 [number]</t>
  </si>
  <si>
    <t>vehicle 5 [number]</t>
  </si>
  <si>
    <t>vehicle 6 [number]</t>
  </si>
  <si>
    <t>vehicle 7 [number]</t>
  </si>
  <si>
    <t>vehicle 8 [number]</t>
  </si>
  <si>
    <t>vehicle 9 [number]</t>
  </si>
  <si>
    <t>vehicle 10 [number]</t>
  </si>
  <si>
    <t>Recycling efficiency</t>
  </si>
  <si>
    <t>Dismantling content</t>
  </si>
  <si>
    <t>PP [%]</t>
  </si>
  <si>
    <t>PA [%]</t>
  </si>
  <si>
    <t>PC [%]</t>
  </si>
  <si>
    <t>ABS [%]</t>
  </si>
  <si>
    <t>CAPsim Input Data</t>
  </si>
  <si>
    <t>start year</t>
  </si>
  <si>
    <t>end year</t>
  </si>
  <si>
    <t>Systemic losses</t>
  </si>
  <si>
    <t>exports [%]</t>
  </si>
  <si>
    <t>unknown whereabouts [%]</t>
  </si>
  <si>
    <t>scenario name</t>
  </si>
  <si>
    <t>ICEV</t>
  </si>
  <si>
    <t>BEV</t>
  </si>
  <si>
    <t>Production efficiency</t>
  </si>
  <si>
    <t>Max. recycled input</t>
  </si>
  <si>
    <t>ICEV [%]</t>
  </si>
  <si>
    <t>BEV [%]</t>
  </si>
  <si>
    <t>Total [%]</t>
  </si>
  <si>
    <t>PP content [kg]</t>
  </si>
  <si>
    <t>PA content [kg]</t>
  </si>
  <si>
    <t>PC content [kg]</t>
  </si>
  <si>
    <t>ABS content [kg]</t>
  </si>
  <si>
    <t>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</si>
</sst>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sz val="9"/>
      <color indexed="81"/>
      <name val="Tahoma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10" fontId="5" fillId="0" borderId="0" xfId="1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3" fontId="6" fillId="0" borderId="0" xfId="2" applyNumberFormat="1" applyFont="1"/>
    <xf numFmtId="10" fontId="7" fillId="0" borderId="0" xfId="1" applyNumberFormat="1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left"/>
    </xf>
    <xf numFmtId="0" fontId="5" fillId="3" borderId="1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3" fontId="9" fillId="2" borderId="0" xfId="0" applyNumberFormat="1" applyFont="1" applyFill="1" applyAlignment="1">
      <alignment horizontal="left" indent="1"/>
    </xf>
    <xf numFmtId="3" fontId="9" fillId="0" borderId="0" xfId="0" applyNumberFormat="1" applyFont="1" applyFill="1" applyAlignment="1">
      <alignment horizontal="left" indent="1"/>
    </xf>
    <xf numFmtId="3" fontId="6" fillId="0" borderId="0" xfId="2" applyNumberFormat="1" applyFont="1" applyFill="1"/>
    <xf numFmtId="10" fontId="5" fillId="0" borderId="0" xfId="1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5" fillId="0" borderId="0" xfId="0" applyFont="1" applyFill="1"/>
    <xf numFmtId="1" fontId="4" fillId="0" borderId="0" xfId="0" applyNumberFormat="1" applyFont="1"/>
    <xf numFmtId="165" fontId="5" fillId="4" borderId="1" xfId="0" applyNumberFormat="1" applyFont="1" applyFill="1" applyBorder="1" applyAlignment="1">
      <alignment horizontal="right"/>
    </xf>
    <xf numFmtId="165" fontId="5" fillId="0" borderId="1" xfId="0" applyNumberFormat="1" applyFont="1" applyFill="1" applyBorder="1" applyAlignment="1">
      <alignment horizontal="right"/>
    </xf>
    <xf numFmtId="0" fontId="4" fillId="0" borderId="3" xfId="0" applyFont="1" applyBorder="1"/>
    <xf numFmtId="165" fontId="5" fillId="0" borderId="4" xfId="0" applyNumberFormat="1" applyFont="1" applyFill="1" applyBorder="1" applyAlignment="1">
      <alignment horizontal="right"/>
    </xf>
    <xf numFmtId="165" fontId="5" fillId="4" borderId="4" xfId="0" applyNumberFormat="1" applyFont="1" applyFill="1" applyBorder="1" applyAlignment="1">
      <alignment horizontal="right"/>
    </xf>
    <xf numFmtId="165" fontId="5" fillId="4" borderId="5" xfId="0" applyNumberFormat="1" applyFont="1" applyFill="1" applyBorder="1" applyAlignment="1">
      <alignment horizontal="right"/>
    </xf>
    <xf numFmtId="3" fontId="4" fillId="0" borderId="6" xfId="0" applyNumberFormat="1" applyFont="1" applyBorder="1"/>
    <xf numFmtId="165" fontId="5" fillId="4" borderId="7" xfId="0" applyNumberFormat="1" applyFont="1" applyFill="1" applyBorder="1" applyAlignment="1">
      <alignment horizontal="right"/>
    </xf>
    <xf numFmtId="0" fontId="4" fillId="0" borderId="8" xfId="0" applyFont="1" applyBorder="1"/>
    <xf numFmtId="165" fontId="5" fillId="0" borderId="9" xfId="0" applyNumberFormat="1" applyFont="1" applyFill="1" applyBorder="1" applyAlignment="1">
      <alignment horizontal="right"/>
    </xf>
    <xf numFmtId="165" fontId="5" fillId="4" borderId="9" xfId="0" applyNumberFormat="1" applyFont="1" applyFill="1" applyBorder="1" applyAlignment="1">
      <alignment horizontal="right"/>
    </xf>
    <xf numFmtId="165" fontId="5" fillId="4" borderId="10" xfId="0" applyNumberFormat="1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0" fontId="5" fillId="3" borderId="2" xfId="0" applyNumberFormat="1" applyFont="1" applyFill="1" applyBorder="1" applyAlignment="1">
      <alignment horizontal="left"/>
    </xf>
    <xf numFmtId="0" fontId="5" fillId="3" borderId="0" xfId="0" applyNumberFormat="1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Z94"/>
  <sheetViews>
    <sheetView showGridLines="0" tabSelected="1" topLeftCell="AY1" workbookViewId="0">
      <selection activeCell="BK30" sqref="BK30"/>
    </sheetView>
  </sheetViews>
  <sheetFormatPr defaultColWidth="12.140625" defaultRowHeight="15" customHeight="1" x14ac:dyDescent="0.2"/>
  <cols>
    <col min="1" max="1" width="4.28515625" style="3" customWidth="1"/>
    <col min="2" max="2" width="20.2851562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ht="15" customHeight="1" x14ac:dyDescent="0.2">
      <c r="B5" s="10" t="s">
        <v>42</v>
      </c>
      <c r="C5" s="37" t="s">
        <v>54</v>
      </c>
      <c r="D5" s="38"/>
      <c r="E5" s="38"/>
      <c r="H5" s="6"/>
      <c r="K5" s="6"/>
    </row>
    <row r="6" spans="2:702" ht="15" customHeight="1" x14ac:dyDescent="0.2">
      <c r="B6" s="4"/>
      <c r="C6" s="4"/>
      <c r="D6" s="5"/>
      <c r="E6" s="5"/>
      <c r="H6" s="6"/>
      <c r="K6" s="6"/>
    </row>
    <row r="7" spans="2:702" ht="15" customHeight="1" x14ac:dyDescent="0.2">
      <c r="B7" s="10" t="s">
        <v>37</v>
      </c>
      <c r="C7" s="14">
        <v>1990</v>
      </c>
      <c r="D7" s="5"/>
      <c r="E7" s="5"/>
      <c r="H7" s="6"/>
      <c r="K7" s="6"/>
    </row>
    <row r="8" spans="2:702" ht="15" customHeight="1" x14ac:dyDescent="0.2">
      <c r="B8" s="10" t="s">
        <v>38</v>
      </c>
      <c r="C8" s="14">
        <v>2050</v>
      </c>
      <c r="D8" s="5"/>
      <c r="E8" s="5"/>
      <c r="H8" s="6"/>
      <c r="K8" s="6"/>
    </row>
    <row r="9" spans="2:702" ht="15" customHeight="1" x14ac:dyDescent="0.2">
      <c r="B9" s="4"/>
      <c r="C9" s="4"/>
      <c r="D9" s="5"/>
      <c r="E9" s="5"/>
      <c r="H9" s="6"/>
      <c r="K9" s="6"/>
    </row>
    <row r="10" spans="2:702" ht="15" customHeight="1" x14ac:dyDescent="0.2">
      <c r="B10" s="10" t="s">
        <v>8</v>
      </c>
      <c r="C10" s="14">
        <v>2</v>
      </c>
      <c r="D10" s="5"/>
      <c r="E10" s="5"/>
    </row>
    <row r="11" spans="2:702" ht="15" customHeight="1" x14ac:dyDescent="0.2">
      <c r="B11" s="10"/>
      <c r="C11" s="4"/>
      <c r="D11" s="5"/>
      <c r="E11" s="5"/>
    </row>
    <row r="12" spans="2:702" ht="15" customHeight="1" x14ac:dyDescent="0.2">
      <c r="B12" s="10"/>
      <c r="C12" s="11" t="s">
        <v>1</v>
      </c>
      <c r="D12" s="11" t="s">
        <v>9</v>
      </c>
      <c r="E12" s="11" t="s">
        <v>10</v>
      </c>
      <c r="F12" s="11" t="s">
        <v>11</v>
      </c>
      <c r="G12" s="11" t="s">
        <v>12</v>
      </c>
      <c r="H12" s="11" t="s">
        <v>13</v>
      </c>
      <c r="I12" s="11" t="s">
        <v>14</v>
      </c>
      <c r="J12" s="11" t="s">
        <v>15</v>
      </c>
      <c r="K12" s="11" t="s">
        <v>16</v>
      </c>
      <c r="L12" s="11" t="s">
        <v>17</v>
      </c>
    </row>
    <row r="13" spans="2:702" ht="15" customHeight="1" x14ac:dyDescent="0.2">
      <c r="B13" s="10" t="s">
        <v>19</v>
      </c>
      <c r="C13" s="12" t="s">
        <v>43</v>
      </c>
      <c r="D13" s="12" t="s">
        <v>44</v>
      </c>
      <c r="E13" s="12"/>
      <c r="F13" s="12"/>
      <c r="G13" s="12"/>
      <c r="H13" s="12"/>
      <c r="I13" s="12"/>
      <c r="J13" s="12"/>
      <c r="K13" s="12"/>
      <c r="L13" s="12"/>
    </row>
    <row r="14" spans="2:702" ht="26.25" customHeight="1" x14ac:dyDescent="0.2">
      <c r="B14" s="4"/>
      <c r="C14" s="4"/>
      <c r="D14" s="5"/>
      <c r="E14" s="5"/>
    </row>
    <row r="15" spans="2:702" s="2" customFormat="1" ht="15" customHeight="1" x14ac:dyDescent="0.2">
      <c r="C15" s="23">
        <f>C7</f>
        <v>1990</v>
      </c>
      <c r="D15" s="2">
        <f>IF(C$15="","",IF(C$15+1&lt;=$C$8,C$15+1,""))</f>
        <v>1991</v>
      </c>
      <c r="E15" s="2">
        <f t="shared" ref="E15:BP15" si="0">IF(D$15="","",IF(D$15+1&lt;=$C$8,D$15+1,""))</f>
        <v>1992</v>
      </c>
      <c r="F15" s="2">
        <f t="shared" si="0"/>
        <v>1993</v>
      </c>
      <c r="G15" s="2">
        <f t="shared" si="0"/>
        <v>1994</v>
      </c>
      <c r="H15" s="2">
        <f t="shared" si="0"/>
        <v>1995</v>
      </c>
      <c r="I15" s="2">
        <f t="shared" si="0"/>
        <v>1996</v>
      </c>
      <c r="J15" s="2">
        <f t="shared" si="0"/>
        <v>1997</v>
      </c>
      <c r="K15" s="2">
        <f t="shared" si="0"/>
        <v>1998</v>
      </c>
      <c r="L15" s="2">
        <f t="shared" si="0"/>
        <v>1999</v>
      </c>
      <c r="M15" s="2">
        <f t="shared" si="0"/>
        <v>2000</v>
      </c>
      <c r="N15" s="2">
        <f t="shared" si="0"/>
        <v>2001</v>
      </c>
      <c r="O15" s="2">
        <f t="shared" si="0"/>
        <v>2002</v>
      </c>
      <c r="P15" s="2">
        <f t="shared" si="0"/>
        <v>2003</v>
      </c>
      <c r="Q15" s="2">
        <f t="shared" si="0"/>
        <v>2004</v>
      </c>
      <c r="R15" s="2">
        <f t="shared" si="0"/>
        <v>2005</v>
      </c>
      <c r="S15" s="2">
        <f t="shared" si="0"/>
        <v>2006</v>
      </c>
      <c r="T15" s="2">
        <f t="shared" si="0"/>
        <v>2007</v>
      </c>
      <c r="U15" s="2">
        <f t="shared" si="0"/>
        <v>2008</v>
      </c>
      <c r="V15" s="2">
        <f t="shared" si="0"/>
        <v>2009</v>
      </c>
      <c r="W15" s="2">
        <f t="shared" si="0"/>
        <v>2010</v>
      </c>
      <c r="X15" s="2">
        <f t="shared" si="0"/>
        <v>2011</v>
      </c>
      <c r="Y15" s="2">
        <f t="shared" si="0"/>
        <v>2012</v>
      </c>
      <c r="Z15" s="2">
        <f t="shared" si="0"/>
        <v>2013</v>
      </c>
      <c r="AA15" s="2">
        <f t="shared" si="0"/>
        <v>2014</v>
      </c>
      <c r="AB15" s="2">
        <f t="shared" si="0"/>
        <v>2015</v>
      </c>
      <c r="AC15" s="2">
        <f t="shared" si="0"/>
        <v>2016</v>
      </c>
      <c r="AD15" s="2">
        <f t="shared" si="0"/>
        <v>2017</v>
      </c>
      <c r="AE15" s="2">
        <f t="shared" si="0"/>
        <v>2018</v>
      </c>
      <c r="AF15" s="2">
        <f t="shared" si="0"/>
        <v>2019</v>
      </c>
      <c r="AG15" s="2">
        <f t="shared" si="0"/>
        <v>2020</v>
      </c>
      <c r="AH15" s="2">
        <f t="shared" si="0"/>
        <v>2021</v>
      </c>
      <c r="AI15" s="2">
        <f t="shared" si="0"/>
        <v>2022</v>
      </c>
      <c r="AJ15" s="2">
        <f t="shared" si="0"/>
        <v>2023</v>
      </c>
      <c r="AK15" s="2">
        <f t="shared" si="0"/>
        <v>2024</v>
      </c>
      <c r="AL15" s="2">
        <f t="shared" si="0"/>
        <v>2025</v>
      </c>
      <c r="AM15" s="2">
        <f t="shared" si="0"/>
        <v>2026</v>
      </c>
      <c r="AN15" s="2">
        <f t="shared" si="0"/>
        <v>2027</v>
      </c>
      <c r="AO15" s="2">
        <f t="shared" si="0"/>
        <v>2028</v>
      </c>
      <c r="AP15" s="2">
        <f t="shared" si="0"/>
        <v>2029</v>
      </c>
      <c r="AQ15" s="2">
        <f t="shared" si="0"/>
        <v>2030</v>
      </c>
      <c r="AR15" s="2">
        <f t="shared" si="0"/>
        <v>2031</v>
      </c>
      <c r="AS15" s="2">
        <f t="shared" si="0"/>
        <v>2032</v>
      </c>
      <c r="AT15" s="2">
        <f t="shared" si="0"/>
        <v>2033</v>
      </c>
      <c r="AU15" s="2">
        <f t="shared" si="0"/>
        <v>2034</v>
      </c>
      <c r="AV15" s="2">
        <f t="shared" si="0"/>
        <v>2035</v>
      </c>
      <c r="AW15" s="2">
        <f t="shared" si="0"/>
        <v>2036</v>
      </c>
      <c r="AX15" s="2">
        <f t="shared" si="0"/>
        <v>2037</v>
      </c>
      <c r="AY15" s="2">
        <f t="shared" si="0"/>
        <v>2038</v>
      </c>
      <c r="AZ15" s="2">
        <f t="shared" si="0"/>
        <v>2039</v>
      </c>
      <c r="BA15" s="2">
        <f t="shared" si="0"/>
        <v>2040</v>
      </c>
      <c r="BB15" s="2">
        <f t="shared" si="0"/>
        <v>2041</v>
      </c>
      <c r="BC15" s="2">
        <f t="shared" si="0"/>
        <v>2042</v>
      </c>
      <c r="BD15" s="2">
        <f t="shared" si="0"/>
        <v>2043</v>
      </c>
      <c r="BE15" s="2">
        <f t="shared" si="0"/>
        <v>2044</v>
      </c>
      <c r="BF15" s="2">
        <f t="shared" si="0"/>
        <v>2045</v>
      </c>
      <c r="BG15" s="2">
        <f t="shared" si="0"/>
        <v>2046</v>
      </c>
      <c r="BH15" s="2">
        <f t="shared" si="0"/>
        <v>2047</v>
      </c>
      <c r="BI15" s="2">
        <f t="shared" si="0"/>
        <v>2048</v>
      </c>
      <c r="BJ15" s="2">
        <f t="shared" si="0"/>
        <v>2049</v>
      </c>
      <c r="BK15" s="2">
        <f t="shared" si="0"/>
        <v>2050</v>
      </c>
      <c r="BL15" s="2" t="str">
        <f t="shared" si="0"/>
        <v/>
      </c>
      <c r="BM15" s="2" t="str">
        <f t="shared" si="0"/>
        <v/>
      </c>
      <c r="BN15" s="2" t="str">
        <f t="shared" si="0"/>
        <v/>
      </c>
      <c r="BO15" s="2" t="str">
        <f t="shared" si="0"/>
        <v/>
      </c>
      <c r="BP15" s="2" t="str">
        <f t="shared" si="0"/>
        <v/>
      </c>
      <c r="BQ15" s="2" t="str">
        <f t="shared" ref="BQ15:EB15" si="1">IF(BP$15="","",IF(BP$15+1&lt;=$C$8,BP$15+1,""))</f>
        <v/>
      </c>
      <c r="BR15" s="2" t="str">
        <f t="shared" si="1"/>
        <v/>
      </c>
      <c r="BS15" s="2" t="str">
        <f t="shared" si="1"/>
        <v/>
      </c>
      <c r="BT15" s="2" t="str">
        <f t="shared" si="1"/>
        <v/>
      </c>
      <c r="BU15" s="2" t="str">
        <f t="shared" si="1"/>
        <v/>
      </c>
      <c r="BV15" s="2" t="str">
        <f t="shared" si="1"/>
        <v/>
      </c>
      <c r="BW15" s="2" t="str">
        <f t="shared" si="1"/>
        <v/>
      </c>
      <c r="BX15" s="2" t="str">
        <f t="shared" si="1"/>
        <v/>
      </c>
      <c r="BY15" s="2" t="str">
        <f t="shared" si="1"/>
        <v/>
      </c>
      <c r="BZ15" s="2" t="str">
        <f t="shared" si="1"/>
        <v/>
      </c>
      <c r="CA15" s="2" t="str">
        <f t="shared" si="1"/>
        <v/>
      </c>
      <c r="CB15" s="2" t="str">
        <f t="shared" si="1"/>
        <v/>
      </c>
      <c r="CC15" s="2" t="str">
        <f t="shared" si="1"/>
        <v/>
      </c>
      <c r="CD15" s="2" t="str">
        <f t="shared" si="1"/>
        <v/>
      </c>
      <c r="CE15" s="2" t="str">
        <f t="shared" si="1"/>
        <v/>
      </c>
      <c r="CF15" s="2" t="str">
        <f t="shared" si="1"/>
        <v/>
      </c>
      <c r="CG15" s="2" t="str">
        <f t="shared" si="1"/>
        <v/>
      </c>
      <c r="CH15" s="2" t="str">
        <f t="shared" si="1"/>
        <v/>
      </c>
      <c r="CI15" s="2" t="str">
        <f t="shared" si="1"/>
        <v/>
      </c>
      <c r="CJ15" s="2" t="str">
        <f t="shared" si="1"/>
        <v/>
      </c>
      <c r="CK15" s="2" t="str">
        <f t="shared" si="1"/>
        <v/>
      </c>
      <c r="CL15" s="2" t="str">
        <f t="shared" si="1"/>
        <v/>
      </c>
      <c r="CM15" s="2" t="str">
        <f t="shared" si="1"/>
        <v/>
      </c>
      <c r="CN15" s="2" t="str">
        <f t="shared" si="1"/>
        <v/>
      </c>
      <c r="CO15" s="2" t="str">
        <f t="shared" si="1"/>
        <v/>
      </c>
      <c r="CP15" s="2" t="str">
        <f t="shared" si="1"/>
        <v/>
      </c>
      <c r="CQ15" s="2" t="str">
        <f t="shared" si="1"/>
        <v/>
      </c>
      <c r="CR15" s="2" t="str">
        <f t="shared" si="1"/>
        <v/>
      </c>
      <c r="CS15" s="2" t="str">
        <f t="shared" si="1"/>
        <v/>
      </c>
      <c r="CT15" s="2" t="str">
        <f t="shared" si="1"/>
        <v/>
      </c>
      <c r="CU15" s="2" t="str">
        <f t="shared" si="1"/>
        <v/>
      </c>
      <c r="CV15" s="2" t="str">
        <f t="shared" si="1"/>
        <v/>
      </c>
      <c r="CW15" s="2" t="str">
        <f t="shared" si="1"/>
        <v/>
      </c>
      <c r="CX15" s="2" t="str">
        <f t="shared" si="1"/>
        <v/>
      </c>
      <c r="CY15" s="2" t="str">
        <f t="shared" si="1"/>
        <v/>
      </c>
      <c r="CZ15" s="2" t="str">
        <f t="shared" si="1"/>
        <v/>
      </c>
      <c r="DA15" s="2" t="str">
        <f t="shared" si="1"/>
        <v/>
      </c>
      <c r="DB15" s="2" t="str">
        <f t="shared" si="1"/>
        <v/>
      </c>
      <c r="DC15" s="2" t="str">
        <f t="shared" si="1"/>
        <v/>
      </c>
      <c r="DD15" s="2" t="str">
        <f t="shared" si="1"/>
        <v/>
      </c>
      <c r="DE15" s="2" t="str">
        <f t="shared" si="1"/>
        <v/>
      </c>
      <c r="DF15" s="2" t="str">
        <f t="shared" si="1"/>
        <v/>
      </c>
      <c r="DG15" s="2" t="str">
        <f t="shared" si="1"/>
        <v/>
      </c>
      <c r="DH15" s="2" t="str">
        <f t="shared" si="1"/>
        <v/>
      </c>
      <c r="DI15" s="2" t="str">
        <f t="shared" si="1"/>
        <v/>
      </c>
      <c r="DJ15" s="2" t="str">
        <f t="shared" si="1"/>
        <v/>
      </c>
      <c r="DK15" s="2" t="str">
        <f t="shared" si="1"/>
        <v/>
      </c>
      <c r="DL15" s="2" t="str">
        <f t="shared" si="1"/>
        <v/>
      </c>
      <c r="DM15" s="2" t="str">
        <f t="shared" si="1"/>
        <v/>
      </c>
      <c r="DN15" s="2" t="str">
        <f t="shared" si="1"/>
        <v/>
      </c>
      <c r="DO15" s="2" t="str">
        <f t="shared" si="1"/>
        <v/>
      </c>
      <c r="DP15" s="2" t="str">
        <f t="shared" si="1"/>
        <v/>
      </c>
      <c r="DQ15" s="2" t="str">
        <f t="shared" si="1"/>
        <v/>
      </c>
      <c r="DR15" s="2" t="str">
        <f t="shared" si="1"/>
        <v/>
      </c>
      <c r="DS15" s="2" t="str">
        <f t="shared" si="1"/>
        <v/>
      </c>
      <c r="DT15" s="2" t="str">
        <f t="shared" si="1"/>
        <v/>
      </c>
      <c r="DU15" s="2" t="str">
        <f t="shared" si="1"/>
        <v/>
      </c>
      <c r="DV15" s="2" t="str">
        <f t="shared" si="1"/>
        <v/>
      </c>
      <c r="DW15" s="2" t="str">
        <f t="shared" si="1"/>
        <v/>
      </c>
      <c r="DX15" s="2" t="str">
        <f t="shared" si="1"/>
        <v/>
      </c>
      <c r="DY15" s="2" t="str">
        <f t="shared" si="1"/>
        <v/>
      </c>
      <c r="DZ15" s="2" t="str">
        <f t="shared" si="1"/>
        <v/>
      </c>
      <c r="EA15" s="2" t="str">
        <f t="shared" si="1"/>
        <v/>
      </c>
      <c r="EB15" s="2" t="str">
        <f t="shared" si="1"/>
        <v/>
      </c>
      <c r="EC15" s="2" t="str">
        <f t="shared" ref="EC15:GN15" si="2">IF(EB$15="","",IF(EB$15+1&lt;=$C$8,EB$15+1,""))</f>
        <v/>
      </c>
      <c r="ED15" s="2" t="str">
        <f t="shared" si="2"/>
        <v/>
      </c>
      <c r="EE15" s="2" t="str">
        <f t="shared" si="2"/>
        <v/>
      </c>
      <c r="EF15" s="2" t="str">
        <f t="shared" si="2"/>
        <v/>
      </c>
      <c r="EG15" s="2" t="str">
        <f t="shared" si="2"/>
        <v/>
      </c>
      <c r="EH15" s="2" t="str">
        <f t="shared" si="2"/>
        <v/>
      </c>
      <c r="EI15" s="2" t="str">
        <f t="shared" si="2"/>
        <v/>
      </c>
      <c r="EJ15" s="2" t="str">
        <f t="shared" si="2"/>
        <v/>
      </c>
      <c r="EK15" s="2" t="str">
        <f t="shared" si="2"/>
        <v/>
      </c>
      <c r="EL15" s="2" t="str">
        <f t="shared" si="2"/>
        <v/>
      </c>
      <c r="EM15" s="2" t="str">
        <f t="shared" si="2"/>
        <v/>
      </c>
      <c r="EN15" s="2" t="str">
        <f t="shared" si="2"/>
        <v/>
      </c>
      <c r="EO15" s="2" t="str">
        <f t="shared" si="2"/>
        <v/>
      </c>
      <c r="EP15" s="2" t="str">
        <f t="shared" si="2"/>
        <v/>
      </c>
      <c r="EQ15" s="2" t="str">
        <f t="shared" si="2"/>
        <v/>
      </c>
      <c r="ER15" s="2" t="str">
        <f t="shared" si="2"/>
        <v/>
      </c>
      <c r="ES15" s="2" t="str">
        <f t="shared" si="2"/>
        <v/>
      </c>
      <c r="ET15" s="2" t="str">
        <f t="shared" si="2"/>
        <v/>
      </c>
      <c r="EU15" s="2" t="str">
        <f t="shared" si="2"/>
        <v/>
      </c>
      <c r="EV15" s="2" t="str">
        <f t="shared" si="2"/>
        <v/>
      </c>
      <c r="EW15" s="2" t="str">
        <f t="shared" si="2"/>
        <v/>
      </c>
      <c r="EX15" s="2" t="str">
        <f t="shared" si="2"/>
        <v/>
      </c>
      <c r="EY15" s="2" t="str">
        <f t="shared" si="2"/>
        <v/>
      </c>
      <c r="EZ15" s="2" t="str">
        <f t="shared" si="2"/>
        <v/>
      </c>
      <c r="FA15" s="2" t="str">
        <f t="shared" si="2"/>
        <v/>
      </c>
      <c r="FB15" s="2" t="str">
        <f t="shared" si="2"/>
        <v/>
      </c>
      <c r="FC15" s="2" t="str">
        <f t="shared" si="2"/>
        <v/>
      </c>
      <c r="FD15" s="2" t="str">
        <f t="shared" si="2"/>
        <v/>
      </c>
      <c r="FE15" s="2" t="str">
        <f t="shared" si="2"/>
        <v/>
      </c>
      <c r="FF15" s="2" t="str">
        <f t="shared" si="2"/>
        <v/>
      </c>
      <c r="FG15" s="2" t="str">
        <f t="shared" si="2"/>
        <v/>
      </c>
      <c r="FH15" s="2" t="str">
        <f t="shared" si="2"/>
        <v/>
      </c>
      <c r="FI15" s="2" t="str">
        <f t="shared" si="2"/>
        <v/>
      </c>
      <c r="FJ15" s="2" t="str">
        <f t="shared" si="2"/>
        <v/>
      </c>
      <c r="FK15" s="2" t="str">
        <f t="shared" si="2"/>
        <v/>
      </c>
      <c r="FL15" s="2" t="str">
        <f t="shared" si="2"/>
        <v/>
      </c>
      <c r="FM15" s="2" t="str">
        <f t="shared" si="2"/>
        <v/>
      </c>
      <c r="FN15" s="2" t="str">
        <f t="shared" si="2"/>
        <v/>
      </c>
      <c r="FO15" s="2" t="str">
        <f t="shared" si="2"/>
        <v/>
      </c>
      <c r="FP15" s="2" t="str">
        <f t="shared" si="2"/>
        <v/>
      </c>
      <c r="FQ15" s="2" t="str">
        <f t="shared" si="2"/>
        <v/>
      </c>
      <c r="FR15" s="2" t="str">
        <f t="shared" si="2"/>
        <v/>
      </c>
      <c r="FS15" s="2" t="str">
        <f t="shared" si="2"/>
        <v/>
      </c>
      <c r="FT15" s="2" t="str">
        <f t="shared" si="2"/>
        <v/>
      </c>
      <c r="FU15" s="2" t="str">
        <f t="shared" si="2"/>
        <v/>
      </c>
      <c r="FV15" s="2" t="str">
        <f t="shared" si="2"/>
        <v/>
      </c>
      <c r="FW15" s="2" t="str">
        <f t="shared" si="2"/>
        <v/>
      </c>
      <c r="FX15" s="2" t="str">
        <f t="shared" si="2"/>
        <v/>
      </c>
      <c r="FY15" s="2" t="str">
        <f t="shared" si="2"/>
        <v/>
      </c>
      <c r="FZ15" s="2" t="str">
        <f t="shared" si="2"/>
        <v/>
      </c>
      <c r="GA15" s="2" t="str">
        <f t="shared" si="2"/>
        <v/>
      </c>
      <c r="GB15" s="2" t="str">
        <f t="shared" si="2"/>
        <v/>
      </c>
      <c r="GC15" s="2" t="str">
        <f t="shared" si="2"/>
        <v/>
      </c>
      <c r="GD15" s="2" t="str">
        <f t="shared" si="2"/>
        <v/>
      </c>
      <c r="GE15" s="2" t="str">
        <f t="shared" si="2"/>
        <v/>
      </c>
      <c r="GF15" s="2" t="str">
        <f t="shared" si="2"/>
        <v/>
      </c>
      <c r="GG15" s="2" t="str">
        <f t="shared" si="2"/>
        <v/>
      </c>
      <c r="GH15" s="2" t="str">
        <f t="shared" si="2"/>
        <v/>
      </c>
      <c r="GI15" s="2" t="str">
        <f t="shared" si="2"/>
        <v/>
      </c>
      <c r="GJ15" s="2" t="str">
        <f t="shared" si="2"/>
        <v/>
      </c>
      <c r="GK15" s="2" t="str">
        <f t="shared" si="2"/>
        <v/>
      </c>
      <c r="GL15" s="2" t="str">
        <f t="shared" si="2"/>
        <v/>
      </c>
      <c r="GM15" s="2" t="str">
        <f t="shared" si="2"/>
        <v/>
      </c>
      <c r="GN15" s="2" t="str">
        <f t="shared" si="2"/>
        <v/>
      </c>
      <c r="GO15" s="2" t="str">
        <f t="shared" ref="GO15:IZ15" si="3">IF(GN$15="","",IF(GN$15+1&lt;=$C$8,GN$15+1,""))</f>
        <v/>
      </c>
      <c r="GP15" s="2" t="str">
        <f t="shared" si="3"/>
        <v/>
      </c>
      <c r="GQ15" s="2" t="str">
        <f t="shared" si="3"/>
        <v/>
      </c>
      <c r="GR15" s="2" t="str">
        <f t="shared" si="3"/>
        <v/>
      </c>
      <c r="GS15" s="2" t="str">
        <f t="shared" si="3"/>
        <v/>
      </c>
      <c r="GT15" s="2" t="str">
        <f t="shared" si="3"/>
        <v/>
      </c>
      <c r="GU15" s="2" t="str">
        <f t="shared" si="3"/>
        <v/>
      </c>
      <c r="GV15" s="2" t="str">
        <f t="shared" si="3"/>
        <v/>
      </c>
      <c r="GW15" s="2" t="str">
        <f t="shared" si="3"/>
        <v/>
      </c>
      <c r="GX15" s="2" t="str">
        <f t="shared" si="3"/>
        <v/>
      </c>
      <c r="GY15" s="2" t="str">
        <f t="shared" si="3"/>
        <v/>
      </c>
      <c r="GZ15" s="2" t="str">
        <f t="shared" si="3"/>
        <v/>
      </c>
      <c r="HA15" s="2" t="str">
        <f t="shared" si="3"/>
        <v/>
      </c>
      <c r="HB15" s="2" t="str">
        <f t="shared" si="3"/>
        <v/>
      </c>
      <c r="HC15" s="2" t="str">
        <f t="shared" si="3"/>
        <v/>
      </c>
      <c r="HD15" s="2" t="str">
        <f t="shared" si="3"/>
        <v/>
      </c>
      <c r="HE15" s="2" t="str">
        <f t="shared" si="3"/>
        <v/>
      </c>
      <c r="HF15" s="2" t="str">
        <f t="shared" si="3"/>
        <v/>
      </c>
      <c r="HG15" s="2" t="str">
        <f t="shared" si="3"/>
        <v/>
      </c>
      <c r="HH15" s="2" t="str">
        <f t="shared" si="3"/>
        <v/>
      </c>
      <c r="HI15" s="2" t="str">
        <f t="shared" si="3"/>
        <v/>
      </c>
      <c r="HJ15" s="2" t="str">
        <f t="shared" si="3"/>
        <v/>
      </c>
      <c r="HK15" s="2" t="str">
        <f t="shared" si="3"/>
        <v/>
      </c>
      <c r="HL15" s="2" t="str">
        <f t="shared" si="3"/>
        <v/>
      </c>
      <c r="HM15" s="2" t="str">
        <f t="shared" si="3"/>
        <v/>
      </c>
      <c r="HN15" s="2" t="str">
        <f t="shared" si="3"/>
        <v/>
      </c>
      <c r="HO15" s="2" t="str">
        <f t="shared" si="3"/>
        <v/>
      </c>
      <c r="HP15" s="2" t="str">
        <f t="shared" si="3"/>
        <v/>
      </c>
      <c r="HQ15" s="2" t="str">
        <f t="shared" si="3"/>
        <v/>
      </c>
      <c r="HR15" s="2" t="str">
        <f t="shared" si="3"/>
        <v/>
      </c>
      <c r="HS15" s="2" t="str">
        <f t="shared" si="3"/>
        <v/>
      </c>
      <c r="HT15" s="2" t="str">
        <f t="shared" si="3"/>
        <v/>
      </c>
      <c r="HU15" s="2" t="str">
        <f t="shared" si="3"/>
        <v/>
      </c>
      <c r="HV15" s="2" t="str">
        <f t="shared" si="3"/>
        <v/>
      </c>
      <c r="HW15" s="2" t="str">
        <f t="shared" si="3"/>
        <v/>
      </c>
      <c r="HX15" s="2" t="str">
        <f t="shared" si="3"/>
        <v/>
      </c>
      <c r="HY15" s="2" t="str">
        <f t="shared" si="3"/>
        <v/>
      </c>
      <c r="HZ15" s="2" t="str">
        <f t="shared" si="3"/>
        <v/>
      </c>
      <c r="IA15" s="2" t="str">
        <f t="shared" si="3"/>
        <v/>
      </c>
      <c r="IB15" s="2" t="str">
        <f t="shared" si="3"/>
        <v/>
      </c>
      <c r="IC15" s="2" t="str">
        <f t="shared" si="3"/>
        <v/>
      </c>
      <c r="ID15" s="2" t="str">
        <f t="shared" si="3"/>
        <v/>
      </c>
      <c r="IE15" s="2" t="str">
        <f t="shared" si="3"/>
        <v/>
      </c>
      <c r="IF15" s="2" t="str">
        <f t="shared" si="3"/>
        <v/>
      </c>
      <c r="IG15" s="2" t="str">
        <f t="shared" si="3"/>
        <v/>
      </c>
      <c r="IH15" s="2" t="str">
        <f t="shared" si="3"/>
        <v/>
      </c>
      <c r="II15" s="2" t="str">
        <f t="shared" si="3"/>
        <v/>
      </c>
      <c r="IJ15" s="2" t="str">
        <f t="shared" si="3"/>
        <v/>
      </c>
      <c r="IK15" s="2" t="str">
        <f t="shared" si="3"/>
        <v/>
      </c>
      <c r="IL15" s="2" t="str">
        <f t="shared" si="3"/>
        <v/>
      </c>
      <c r="IM15" s="2" t="str">
        <f t="shared" si="3"/>
        <v/>
      </c>
      <c r="IN15" s="2" t="str">
        <f t="shared" si="3"/>
        <v/>
      </c>
      <c r="IO15" s="2" t="str">
        <f t="shared" si="3"/>
        <v/>
      </c>
      <c r="IP15" s="2" t="str">
        <f t="shared" si="3"/>
        <v/>
      </c>
      <c r="IQ15" s="2" t="str">
        <f t="shared" si="3"/>
        <v/>
      </c>
      <c r="IR15" s="2" t="str">
        <f t="shared" si="3"/>
        <v/>
      </c>
      <c r="IS15" s="2" t="str">
        <f t="shared" si="3"/>
        <v/>
      </c>
      <c r="IT15" s="2" t="str">
        <f t="shared" si="3"/>
        <v/>
      </c>
      <c r="IU15" s="2" t="str">
        <f t="shared" si="3"/>
        <v/>
      </c>
      <c r="IV15" s="2" t="str">
        <f t="shared" si="3"/>
        <v/>
      </c>
      <c r="IW15" s="2" t="str">
        <f t="shared" si="3"/>
        <v/>
      </c>
      <c r="IX15" s="2" t="str">
        <f t="shared" si="3"/>
        <v/>
      </c>
      <c r="IY15" s="2" t="str">
        <f t="shared" si="3"/>
        <v/>
      </c>
      <c r="IZ15" s="2" t="str">
        <f t="shared" si="3"/>
        <v/>
      </c>
      <c r="JA15" s="2" t="str">
        <f t="shared" ref="JA15:LL15" si="4">IF(IZ$15="","",IF(IZ$15+1&lt;=$C$8,IZ$15+1,""))</f>
        <v/>
      </c>
      <c r="JB15" s="2" t="str">
        <f t="shared" si="4"/>
        <v/>
      </c>
      <c r="JC15" s="2" t="str">
        <f t="shared" si="4"/>
        <v/>
      </c>
      <c r="JD15" s="2" t="str">
        <f t="shared" si="4"/>
        <v/>
      </c>
      <c r="JE15" s="2" t="str">
        <f t="shared" si="4"/>
        <v/>
      </c>
      <c r="JF15" s="2" t="str">
        <f t="shared" si="4"/>
        <v/>
      </c>
      <c r="JG15" s="2" t="str">
        <f t="shared" si="4"/>
        <v/>
      </c>
      <c r="JH15" s="2" t="str">
        <f t="shared" si="4"/>
        <v/>
      </c>
      <c r="JI15" s="2" t="str">
        <f t="shared" si="4"/>
        <v/>
      </c>
      <c r="JJ15" s="2" t="str">
        <f t="shared" si="4"/>
        <v/>
      </c>
      <c r="JK15" s="2" t="str">
        <f t="shared" si="4"/>
        <v/>
      </c>
      <c r="JL15" s="2" t="str">
        <f t="shared" si="4"/>
        <v/>
      </c>
      <c r="JM15" s="2" t="str">
        <f t="shared" si="4"/>
        <v/>
      </c>
      <c r="JN15" s="2" t="str">
        <f t="shared" si="4"/>
        <v/>
      </c>
      <c r="JO15" s="2" t="str">
        <f t="shared" si="4"/>
        <v/>
      </c>
      <c r="JP15" s="2" t="str">
        <f t="shared" si="4"/>
        <v/>
      </c>
      <c r="JQ15" s="2" t="str">
        <f t="shared" si="4"/>
        <v/>
      </c>
      <c r="JR15" s="2" t="str">
        <f t="shared" si="4"/>
        <v/>
      </c>
      <c r="JS15" s="2" t="str">
        <f t="shared" si="4"/>
        <v/>
      </c>
      <c r="JT15" s="2" t="str">
        <f t="shared" si="4"/>
        <v/>
      </c>
      <c r="JU15" s="2" t="str">
        <f t="shared" si="4"/>
        <v/>
      </c>
      <c r="JV15" s="2" t="str">
        <f t="shared" si="4"/>
        <v/>
      </c>
      <c r="JW15" s="2" t="str">
        <f t="shared" si="4"/>
        <v/>
      </c>
      <c r="JX15" s="2" t="str">
        <f t="shared" si="4"/>
        <v/>
      </c>
      <c r="JY15" s="2" t="str">
        <f t="shared" si="4"/>
        <v/>
      </c>
      <c r="JZ15" s="2" t="str">
        <f t="shared" si="4"/>
        <v/>
      </c>
      <c r="KA15" s="2" t="str">
        <f t="shared" si="4"/>
        <v/>
      </c>
      <c r="KB15" s="2" t="str">
        <f t="shared" si="4"/>
        <v/>
      </c>
      <c r="KC15" s="2" t="str">
        <f t="shared" si="4"/>
        <v/>
      </c>
      <c r="KD15" s="2" t="str">
        <f t="shared" si="4"/>
        <v/>
      </c>
      <c r="KE15" s="2" t="str">
        <f t="shared" si="4"/>
        <v/>
      </c>
      <c r="KF15" s="2" t="str">
        <f t="shared" si="4"/>
        <v/>
      </c>
      <c r="KG15" s="2" t="str">
        <f t="shared" si="4"/>
        <v/>
      </c>
      <c r="KH15" s="2" t="str">
        <f t="shared" si="4"/>
        <v/>
      </c>
      <c r="KI15" s="2" t="str">
        <f t="shared" si="4"/>
        <v/>
      </c>
      <c r="KJ15" s="2" t="str">
        <f t="shared" si="4"/>
        <v/>
      </c>
      <c r="KK15" s="2" t="str">
        <f t="shared" si="4"/>
        <v/>
      </c>
      <c r="KL15" s="2" t="str">
        <f t="shared" si="4"/>
        <v/>
      </c>
      <c r="KM15" s="2" t="str">
        <f t="shared" si="4"/>
        <v/>
      </c>
      <c r="KN15" s="2" t="str">
        <f t="shared" si="4"/>
        <v/>
      </c>
      <c r="KO15" s="2" t="str">
        <f t="shared" si="4"/>
        <v/>
      </c>
      <c r="KP15" s="2" t="str">
        <f t="shared" si="4"/>
        <v/>
      </c>
      <c r="KQ15" s="2" t="str">
        <f t="shared" si="4"/>
        <v/>
      </c>
      <c r="KR15" s="2" t="str">
        <f t="shared" si="4"/>
        <v/>
      </c>
      <c r="KS15" s="2" t="str">
        <f t="shared" si="4"/>
        <v/>
      </c>
      <c r="KT15" s="2" t="str">
        <f t="shared" si="4"/>
        <v/>
      </c>
      <c r="KU15" s="2" t="str">
        <f t="shared" si="4"/>
        <v/>
      </c>
      <c r="KV15" s="2" t="str">
        <f t="shared" si="4"/>
        <v/>
      </c>
      <c r="KW15" s="2" t="str">
        <f t="shared" si="4"/>
        <v/>
      </c>
      <c r="KX15" s="2" t="str">
        <f t="shared" si="4"/>
        <v/>
      </c>
      <c r="KY15" s="2" t="str">
        <f t="shared" si="4"/>
        <v/>
      </c>
      <c r="KZ15" s="2" t="str">
        <f t="shared" si="4"/>
        <v/>
      </c>
      <c r="LA15" s="2" t="str">
        <f t="shared" si="4"/>
        <v/>
      </c>
      <c r="LB15" s="2" t="str">
        <f t="shared" si="4"/>
        <v/>
      </c>
      <c r="LC15" s="2" t="str">
        <f t="shared" si="4"/>
        <v/>
      </c>
      <c r="LD15" s="2" t="str">
        <f t="shared" si="4"/>
        <v/>
      </c>
      <c r="LE15" s="2" t="str">
        <f t="shared" si="4"/>
        <v/>
      </c>
      <c r="LF15" s="2" t="str">
        <f t="shared" si="4"/>
        <v/>
      </c>
      <c r="LG15" s="2" t="str">
        <f t="shared" si="4"/>
        <v/>
      </c>
      <c r="LH15" s="2" t="str">
        <f t="shared" si="4"/>
        <v/>
      </c>
      <c r="LI15" s="2" t="str">
        <f t="shared" si="4"/>
        <v/>
      </c>
      <c r="LJ15" s="2" t="str">
        <f t="shared" si="4"/>
        <v/>
      </c>
      <c r="LK15" s="2" t="str">
        <f t="shared" si="4"/>
        <v/>
      </c>
      <c r="LL15" s="2" t="str">
        <f t="shared" si="4"/>
        <v/>
      </c>
      <c r="LM15" s="2" t="str">
        <f t="shared" ref="LM15:NX15" si="5">IF(LL$15="","",IF(LL$15+1&lt;=$C$8,LL$15+1,""))</f>
        <v/>
      </c>
      <c r="LN15" s="2" t="str">
        <f t="shared" si="5"/>
        <v/>
      </c>
      <c r="LO15" s="2" t="str">
        <f t="shared" si="5"/>
        <v/>
      </c>
      <c r="LP15" s="2" t="str">
        <f t="shared" si="5"/>
        <v/>
      </c>
      <c r="LQ15" s="2" t="str">
        <f t="shared" si="5"/>
        <v/>
      </c>
      <c r="LR15" s="2" t="str">
        <f t="shared" si="5"/>
        <v/>
      </c>
      <c r="LS15" s="2" t="str">
        <f t="shared" si="5"/>
        <v/>
      </c>
      <c r="LT15" s="2" t="str">
        <f t="shared" si="5"/>
        <v/>
      </c>
      <c r="LU15" s="2" t="str">
        <f t="shared" si="5"/>
        <v/>
      </c>
      <c r="LV15" s="2" t="str">
        <f t="shared" si="5"/>
        <v/>
      </c>
      <c r="LW15" s="2" t="str">
        <f t="shared" si="5"/>
        <v/>
      </c>
      <c r="LX15" s="2" t="str">
        <f t="shared" si="5"/>
        <v/>
      </c>
      <c r="LY15" s="2" t="str">
        <f t="shared" si="5"/>
        <v/>
      </c>
      <c r="LZ15" s="2" t="str">
        <f t="shared" si="5"/>
        <v/>
      </c>
      <c r="MA15" s="2" t="str">
        <f t="shared" si="5"/>
        <v/>
      </c>
      <c r="MB15" s="2" t="str">
        <f t="shared" si="5"/>
        <v/>
      </c>
      <c r="MC15" s="2" t="str">
        <f t="shared" si="5"/>
        <v/>
      </c>
      <c r="MD15" s="2" t="str">
        <f t="shared" si="5"/>
        <v/>
      </c>
      <c r="ME15" s="2" t="str">
        <f t="shared" si="5"/>
        <v/>
      </c>
      <c r="MF15" s="2" t="str">
        <f t="shared" si="5"/>
        <v/>
      </c>
      <c r="MG15" s="2" t="str">
        <f t="shared" si="5"/>
        <v/>
      </c>
      <c r="MH15" s="2" t="str">
        <f t="shared" si="5"/>
        <v/>
      </c>
      <c r="MI15" s="2" t="str">
        <f t="shared" si="5"/>
        <v/>
      </c>
      <c r="MJ15" s="2" t="str">
        <f t="shared" si="5"/>
        <v/>
      </c>
      <c r="MK15" s="2" t="str">
        <f t="shared" si="5"/>
        <v/>
      </c>
      <c r="ML15" s="2" t="str">
        <f t="shared" si="5"/>
        <v/>
      </c>
      <c r="MM15" s="2" t="str">
        <f t="shared" si="5"/>
        <v/>
      </c>
      <c r="MN15" s="2" t="str">
        <f t="shared" si="5"/>
        <v/>
      </c>
      <c r="MO15" s="2" t="str">
        <f t="shared" si="5"/>
        <v/>
      </c>
      <c r="MP15" s="2" t="str">
        <f t="shared" si="5"/>
        <v/>
      </c>
      <c r="MQ15" s="2" t="str">
        <f t="shared" si="5"/>
        <v/>
      </c>
      <c r="MR15" s="2" t="str">
        <f t="shared" si="5"/>
        <v/>
      </c>
      <c r="MS15" s="2" t="str">
        <f t="shared" si="5"/>
        <v/>
      </c>
      <c r="MT15" s="2" t="str">
        <f t="shared" si="5"/>
        <v/>
      </c>
      <c r="MU15" s="2" t="str">
        <f t="shared" si="5"/>
        <v/>
      </c>
      <c r="MV15" s="2" t="str">
        <f t="shared" si="5"/>
        <v/>
      </c>
      <c r="MW15" s="2" t="str">
        <f t="shared" si="5"/>
        <v/>
      </c>
      <c r="MX15" s="2" t="str">
        <f t="shared" si="5"/>
        <v/>
      </c>
      <c r="MY15" s="2" t="str">
        <f t="shared" si="5"/>
        <v/>
      </c>
      <c r="MZ15" s="2" t="str">
        <f t="shared" si="5"/>
        <v/>
      </c>
      <c r="NA15" s="2" t="str">
        <f t="shared" si="5"/>
        <v/>
      </c>
      <c r="NB15" s="2" t="str">
        <f t="shared" si="5"/>
        <v/>
      </c>
      <c r="NC15" s="2" t="str">
        <f t="shared" si="5"/>
        <v/>
      </c>
      <c r="ND15" s="2" t="str">
        <f t="shared" si="5"/>
        <v/>
      </c>
      <c r="NE15" s="2" t="str">
        <f t="shared" si="5"/>
        <v/>
      </c>
      <c r="NF15" s="2" t="str">
        <f t="shared" si="5"/>
        <v/>
      </c>
      <c r="NG15" s="2" t="str">
        <f t="shared" si="5"/>
        <v/>
      </c>
      <c r="NH15" s="2" t="str">
        <f t="shared" si="5"/>
        <v/>
      </c>
      <c r="NI15" s="2" t="str">
        <f t="shared" si="5"/>
        <v/>
      </c>
      <c r="NJ15" s="2" t="str">
        <f t="shared" si="5"/>
        <v/>
      </c>
      <c r="NK15" s="2" t="str">
        <f t="shared" si="5"/>
        <v/>
      </c>
      <c r="NL15" s="2" t="str">
        <f t="shared" si="5"/>
        <v/>
      </c>
      <c r="NM15" s="2" t="str">
        <f t="shared" si="5"/>
        <v/>
      </c>
      <c r="NN15" s="2" t="str">
        <f t="shared" si="5"/>
        <v/>
      </c>
      <c r="NO15" s="2" t="str">
        <f t="shared" si="5"/>
        <v/>
      </c>
      <c r="NP15" s="2" t="str">
        <f t="shared" si="5"/>
        <v/>
      </c>
      <c r="NQ15" s="2" t="str">
        <f t="shared" si="5"/>
        <v/>
      </c>
      <c r="NR15" s="2" t="str">
        <f t="shared" si="5"/>
        <v/>
      </c>
      <c r="NS15" s="2" t="str">
        <f t="shared" si="5"/>
        <v/>
      </c>
      <c r="NT15" s="2" t="str">
        <f t="shared" si="5"/>
        <v/>
      </c>
      <c r="NU15" s="2" t="str">
        <f t="shared" si="5"/>
        <v/>
      </c>
      <c r="NV15" s="2" t="str">
        <f t="shared" si="5"/>
        <v/>
      </c>
      <c r="NW15" s="2" t="str">
        <f t="shared" si="5"/>
        <v/>
      </c>
      <c r="NX15" s="2" t="str">
        <f t="shared" si="5"/>
        <v/>
      </c>
      <c r="NY15" s="2" t="str">
        <f t="shared" ref="NY15:QJ15" si="6">IF(NX$15="","",IF(NX$15+1&lt;=$C$8,NX$15+1,""))</f>
        <v/>
      </c>
      <c r="NZ15" s="2" t="str">
        <f t="shared" si="6"/>
        <v/>
      </c>
      <c r="OA15" s="2" t="str">
        <f t="shared" si="6"/>
        <v/>
      </c>
      <c r="OB15" s="2" t="str">
        <f t="shared" si="6"/>
        <v/>
      </c>
      <c r="OC15" s="2" t="str">
        <f t="shared" si="6"/>
        <v/>
      </c>
      <c r="OD15" s="2" t="str">
        <f t="shared" si="6"/>
        <v/>
      </c>
      <c r="OE15" s="2" t="str">
        <f t="shared" si="6"/>
        <v/>
      </c>
      <c r="OF15" s="2" t="str">
        <f t="shared" si="6"/>
        <v/>
      </c>
      <c r="OG15" s="2" t="str">
        <f t="shared" si="6"/>
        <v/>
      </c>
      <c r="OH15" s="2" t="str">
        <f t="shared" si="6"/>
        <v/>
      </c>
      <c r="OI15" s="2" t="str">
        <f t="shared" si="6"/>
        <v/>
      </c>
      <c r="OJ15" s="2" t="str">
        <f t="shared" si="6"/>
        <v/>
      </c>
      <c r="OK15" s="2" t="str">
        <f t="shared" si="6"/>
        <v/>
      </c>
      <c r="OL15" s="2" t="str">
        <f t="shared" si="6"/>
        <v/>
      </c>
      <c r="OM15" s="2" t="str">
        <f t="shared" si="6"/>
        <v/>
      </c>
      <c r="ON15" s="2" t="str">
        <f t="shared" si="6"/>
        <v/>
      </c>
      <c r="OO15" s="2" t="str">
        <f t="shared" si="6"/>
        <v/>
      </c>
      <c r="OP15" s="2" t="str">
        <f t="shared" si="6"/>
        <v/>
      </c>
      <c r="OQ15" s="2" t="str">
        <f t="shared" si="6"/>
        <v/>
      </c>
      <c r="OR15" s="2" t="str">
        <f t="shared" si="6"/>
        <v/>
      </c>
      <c r="OS15" s="2" t="str">
        <f t="shared" si="6"/>
        <v/>
      </c>
      <c r="OT15" s="2" t="str">
        <f t="shared" si="6"/>
        <v/>
      </c>
      <c r="OU15" s="2" t="str">
        <f t="shared" si="6"/>
        <v/>
      </c>
      <c r="OV15" s="2" t="str">
        <f t="shared" si="6"/>
        <v/>
      </c>
      <c r="OW15" s="2" t="str">
        <f t="shared" si="6"/>
        <v/>
      </c>
      <c r="OX15" s="2" t="str">
        <f t="shared" si="6"/>
        <v/>
      </c>
      <c r="OY15" s="2" t="str">
        <f t="shared" si="6"/>
        <v/>
      </c>
      <c r="OZ15" s="2" t="str">
        <f t="shared" si="6"/>
        <v/>
      </c>
      <c r="PA15" s="2" t="str">
        <f t="shared" si="6"/>
        <v/>
      </c>
      <c r="PB15" s="2" t="str">
        <f t="shared" si="6"/>
        <v/>
      </c>
      <c r="PC15" s="2" t="str">
        <f t="shared" si="6"/>
        <v/>
      </c>
      <c r="PD15" s="2" t="str">
        <f t="shared" si="6"/>
        <v/>
      </c>
      <c r="PE15" s="2" t="str">
        <f t="shared" si="6"/>
        <v/>
      </c>
      <c r="PF15" s="2" t="str">
        <f t="shared" si="6"/>
        <v/>
      </c>
      <c r="PG15" s="2" t="str">
        <f t="shared" si="6"/>
        <v/>
      </c>
      <c r="PH15" s="2" t="str">
        <f t="shared" si="6"/>
        <v/>
      </c>
      <c r="PI15" s="2" t="str">
        <f t="shared" si="6"/>
        <v/>
      </c>
      <c r="PJ15" s="2" t="str">
        <f t="shared" si="6"/>
        <v/>
      </c>
      <c r="PK15" s="2" t="str">
        <f t="shared" si="6"/>
        <v/>
      </c>
      <c r="PL15" s="2" t="str">
        <f t="shared" si="6"/>
        <v/>
      </c>
      <c r="PM15" s="2" t="str">
        <f t="shared" si="6"/>
        <v/>
      </c>
      <c r="PN15" s="2" t="str">
        <f t="shared" si="6"/>
        <v/>
      </c>
      <c r="PO15" s="2" t="str">
        <f t="shared" si="6"/>
        <v/>
      </c>
      <c r="PP15" s="2" t="str">
        <f t="shared" si="6"/>
        <v/>
      </c>
      <c r="PQ15" s="2" t="str">
        <f t="shared" si="6"/>
        <v/>
      </c>
      <c r="PR15" s="2" t="str">
        <f t="shared" si="6"/>
        <v/>
      </c>
      <c r="PS15" s="2" t="str">
        <f t="shared" si="6"/>
        <v/>
      </c>
      <c r="PT15" s="2" t="str">
        <f t="shared" si="6"/>
        <v/>
      </c>
      <c r="PU15" s="2" t="str">
        <f t="shared" si="6"/>
        <v/>
      </c>
      <c r="PV15" s="2" t="str">
        <f t="shared" si="6"/>
        <v/>
      </c>
      <c r="PW15" s="2" t="str">
        <f t="shared" si="6"/>
        <v/>
      </c>
      <c r="PX15" s="2" t="str">
        <f t="shared" si="6"/>
        <v/>
      </c>
      <c r="PY15" s="2" t="str">
        <f t="shared" si="6"/>
        <v/>
      </c>
      <c r="PZ15" s="2" t="str">
        <f t="shared" si="6"/>
        <v/>
      </c>
      <c r="QA15" s="2" t="str">
        <f t="shared" si="6"/>
        <v/>
      </c>
      <c r="QB15" s="2" t="str">
        <f t="shared" si="6"/>
        <v/>
      </c>
      <c r="QC15" s="2" t="str">
        <f t="shared" si="6"/>
        <v/>
      </c>
      <c r="QD15" s="2" t="str">
        <f t="shared" si="6"/>
        <v/>
      </c>
      <c r="QE15" s="2" t="str">
        <f t="shared" si="6"/>
        <v/>
      </c>
      <c r="QF15" s="2" t="str">
        <f t="shared" si="6"/>
        <v/>
      </c>
      <c r="QG15" s="2" t="str">
        <f t="shared" si="6"/>
        <v/>
      </c>
      <c r="QH15" s="2" t="str">
        <f t="shared" si="6"/>
        <v/>
      </c>
      <c r="QI15" s="2" t="str">
        <f t="shared" si="6"/>
        <v/>
      </c>
      <c r="QJ15" s="2" t="str">
        <f t="shared" si="6"/>
        <v/>
      </c>
      <c r="QK15" s="2" t="str">
        <f t="shared" ref="QK15:SV15" si="7">IF(QJ$15="","",IF(QJ$15+1&lt;=$C$8,QJ$15+1,""))</f>
        <v/>
      </c>
      <c r="QL15" s="2" t="str">
        <f t="shared" si="7"/>
        <v/>
      </c>
      <c r="QM15" s="2" t="str">
        <f t="shared" si="7"/>
        <v/>
      </c>
      <c r="QN15" s="2" t="str">
        <f t="shared" si="7"/>
        <v/>
      </c>
      <c r="QO15" s="2" t="str">
        <f t="shared" si="7"/>
        <v/>
      </c>
      <c r="QP15" s="2" t="str">
        <f t="shared" si="7"/>
        <v/>
      </c>
      <c r="QQ15" s="2" t="str">
        <f t="shared" si="7"/>
        <v/>
      </c>
      <c r="QR15" s="2" t="str">
        <f t="shared" si="7"/>
        <v/>
      </c>
      <c r="QS15" s="2" t="str">
        <f t="shared" si="7"/>
        <v/>
      </c>
      <c r="QT15" s="2" t="str">
        <f t="shared" si="7"/>
        <v/>
      </c>
      <c r="QU15" s="2" t="str">
        <f t="shared" si="7"/>
        <v/>
      </c>
      <c r="QV15" s="2" t="str">
        <f t="shared" si="7"/>
        <v/>
      </c>
      <c r="QW15" s="2" t="str">
        <f t="shared" si="7"/>
        <v/>
      </c>
      <c r="QX15" s="2" t="str">
        <f t="shared" si="7"/>
        <v/>
      </c>
      <c r="QY15" s="2" t="str">
        <f t="shared" si="7"/>
        <v/>
      </c>
      <c r="QZ15" s="2" t="str">
        <f t="shared" si="7"/>
        <v/>
      </c>
      <c r="RA15" s="2" t="str">
        <f t="shared" si="7"/>
        <v/>
      </c>
      <c r="RB15" s="2" t="str">
        <f t="shared" si="7"/>
        <v/>
      </c>
      <c r="RC15" s="2" t="str">
        <f t="shared" si="7"/>
        <v/>
      </c>
      <c r="RD15" s="2" t="str">
        <f t="shared" si="7"/>
        <v/>
      </c>
      <c r="RE15" s="2" t="str">
        <f t="shared" si="7"/>
        <v/>
      </c>
      <c r="RF15" s="2" t="str">
        <f t="shared" si="7"/>
        <v/>
      </c>
      <c r="RG15" s="2" t="str">
        <f t="shared" si="7"/>
        <v/>
      </c>
      <c r="RH15" s="2" t="str">
        <f t="shared" si="7"/>
        <v/>
      </c>
      <c r="RI15" s="2" t="str">
        <f t="shared" si="7"/>
        <v/>
      </c>
      <c r="RJ15" s="2" t="str">
        <f t="shared" si="7"/>
        <v/>
      </c>
      <c r="RK15" s="2" t="str">
        <f t="shared" si="7"/>
        <v/>
      </c>
      <c r="RL15" s="2" t="str">
        <f t="shared" si="7"/>
        <v/>
      </c>
      <c r="RM15" s="2" t="str">
        <f t="shared" si="7"/>
        <v/>
      </c>
      <c r="RN15" s="2" t="str">
        <f t="shared" si="7"/>
        <v/>
      </c>
      <c r="RO15" s="2" t="str">
        <f t="shared" si="7"/>
        <v/>
      </c>
      <c r="RP15" s="2" t="str">
        <f t="shared" si="7"/>
        <v/>
      </c>
      <c r="RQ15" s="2" t="str">
        <f t="shared" si="7"/>
        <v/>
      </c>
      <c r="RR15" s="2" t="str">
        <f t="shared" si="7"/>
        <v/>
      </c>
      <c r="RS15" s="2" t="str">
        <f t="shared" si="7"/>
        <v/>
      </c>
      <c r="RT15" s="2" t="str">
        <f t="shared" si="7"/>
        <v/>
      </c>
      <c r="RU15" s="2" t="str">
        <f t="shared" si="7"/>
        <v/>
      </c>
      <c r="RV15" s="2" t="str">
        <f t="shared" si="7"/>
        <v/>
      </c>
      <c r="RW15" s="2" t="str">
        <f t="shared" si="7"/>
        <v/>
      </c>
      <c r="RX15" s="2" t="str">
        <f t="shared" si="7"/>
        <v/>
      </c>
      <c r="RY15" s="2" t="str">
        <f t="shared" si="7"/>
        <v/>
      </c>
      <c r="RZ15" s="2" t="str">
        <f t="shared" si="7"/>
        <v/>
      </c>
      <c r="SA15" s="2" t="str">
        <f t="shared" si="7"/>
        <v/>
      </c>
      <c r="SB15" s="2" t="str">
        <f t="shared" si="7"/>
        <v/>
      </c>
      <c r="SC15" s="2" t="str">
        <f t="shared" si="7"/>
        <v/>
      </c>
      <c r="SD15" s="2" t="str">
        <f t="shared" si="7"/>
        <v/>
      </c>
      <c r="SE15" s="2" t="str">
        <f t="shared" si="7"/>
        <v/>
      </c>
      <c r="SF15" s="2" t="str">
        <f t="shared" si="7"/>
        <v/>
      </c>
      <c r="SG15" s="2" t="str">
        <f t="shared" si="7"/>
        <v/>
      </c>
      <c r="SH15" s="2" t="str">
        <f t="shared" si="7"/>
        <v/>
      </c>
      <c r="SI15" s="2" t="str">
        <f t="shared" si="7"/>
        <v/>
      </c>
      <c r="SJ15" s="2" t="str">
        <f t="shared" si="7"/>
        <v/>
      </c>
      <c r="SK15" s="2" t="str">
        <f t="shared" si="7"/>
        <v/>
      </c>
      <c r="SL15" s="2" t="str">
        <f t="shared" si="7"/>
        <v/>
      </c>
      <c r="SM15" s="2" t="str">
        <f t="shared" si="7"/>
        <v/>
      </c>
      <c r="SN15" s="2" t="str">
        <f t="shared" si="7"/>
        <v/>
      </c>
      <c r="SO15" s="2" t="str">
        <f t="shared" si="7"/>
        <v/>
      </c>
      <c r="SP15" s="2" t="str">
        <f t="shared" si="7"/>
        <v/>
      </c>
      <c r="SQ15" s="2" t="str">
        <f t="shared" si="7"/>
        <v/>
      </c>
      <c r="SR15" s="2" t="str">
        <f t="shared" si="7"/>
        <v/>
      </c>
      <c r="SS15" s="2" t="str">
        <f t="shared" si="7"/>
        <v/>
      </c>
      <c r="ST15" s="2" t="str">
        <f t="shared" si="7"/>
        <v/>
      </c>
      <c r="SU15" s="2" t="str">
        <f t="shared" si="7"/>
        <v/>
      </c>
      <c r="SV15" s="2" t="str">
        <f t="shared" si="7"/>
        <v/>
      </c>
      <c r="SW15" s="2" t="str">
        <f t="shared" ref="SW15:VH15" si="8">IF(SV$15="","",IF(SV$15+1&lt;=$C$8,SV$15+1,""))</f>
        <v/>
      </c>
      <c r="SX15" s="2" t="str">
        <f t="shared" si="8"/>
        <v/>
      </c>
      <c r="SY15" s="2" t="str">
        <f t="shared" si="8"/>
        <v/>
      </c>
      <c r="SZ15" s="2" t="str">
        <f t="shared" si="8"/>
        <v/>
      </c>
      <c r="TA15" s="2" t="str">
        <f t="shared" si="8"/>
        <v/>
      </c>
      <c r="TB15" s="2" t="str">
        <f t="shared" si="8"/>
        <v/>
      </c>
      <c r="TC15" s="2" t="str">
        <f t="shared" si="8"/>
        <v/>
      </c>
      <c r="TD15" s="2" t="str">
        <f t="shared" si="8"/>
        <v/>
      </c>
      <c r="TE15" s="2" t="str">
        <f t="shared" si="8"/>
        <v/>
      </c>
      <c r="TF15" s="2" t="str">
        <f t="shared" si="8"/>
        <v/>
      </c>
      <c r="TG15" s="2" t="str">
        <f t="shared" si="8"/>
        <v/>
      </c>
      <c r="TH15" s="2" t="str">
        <f t="shared" si="8"/>
        <v/>
      </c>
      <c r="TI15" s="2" t="str">
        <f t="shared" si="8"/>
        <v/>
      </c>
      <c r="TJ15" s="2" t="str">
        <f t="shared" si="8"/>
        <v/>
      </c>
      <c r="TK15" s="2" t="str">
        <f t="shared" si="8"/>
        <v/>
      </c>
      <c r="TL15" s="2" t="str">
        <f t="shared" si="8"/>
        <v/>
      </c>
      <c r="TM15" s="2" t="str">
        <f t="shared" si="8"/>
        <v/>
      </c>
      <c r="TN15" s="2" t="str">
        <f t="shared" si="8"/>
        <v/>
      </c>
      <c r="TO15" s="2" t="str">
        <f t="shared" si="8"/>
        <v/>
      </c>
      <c r="TP15" s="2" t="str">
        <f t="shared" si="8"/>
        <v/>
      </c>
      <c r="TQ15" s="2" t="str">
        <f t="shared" si="8"/>
        <v/>
      </c>
      <c r="TR15" s="2" t="str">
        <f t="shared" si="8"/>
        <v/>
      </c>
      <c r="TS15" s="2" t="str">
        <f t="shared" si="8"/>
        <v/>
      </c>
      <c r="TT15" s="2" t="str">
        <f t="shared" si="8"/>
        <v/>
      </c>
      <c r="TU15" s="2" t="str">
        <f t="shared" si="8"/>
        <v/>
      </c>
      <c r="TV15" s="2" t="str">
        <f t="shared" si="8"/>
        <v/>
      </c>
      <c r="TW15" s="2" t="str">
        <f t="shared" si="8"/>
        <v/>
      </c>
      <c r="TX15" s="2" t="str">
        <f t="shared" si="8"/>
        <v/>
      </c>
      <c r="TY15" s="2" t="str">
        <f t="shared" si="8"/>
        <v/>
      </c>
      <c r="TZ15" s="2" t="str">
        <f t="shared" si="8"/>
        <v/>
      </c>
      <c r="UA15" s="2" t="str">
        <f t="shared" si="8"/>
        <v/>
      </c>
      <c r="UB15" s="2" t="str">
        <f t="shared" si="8"/>
        <v/>
      </c>
      <c r="UC15" s="2" t="str">
        <f t="shared" si="8"/>
        <v/>
      </c>
      <c r="UD15" s="2" t="str">
        <f t="shared" si="8"/>
        <v/>
      </c>
      <c r="UE15" s="2" t="str">
        <f t="shared" si="8"/>
        <v/>
      </c>
      <c r="UF15" s="2" t="str">
        <f t="shared" si="8"/>
        <v/>
      </c>
      <c r="UG15" s="2" t="str">
        <f t="shared" si="8"/>
        <v/>
      </c>
      <c r="UH15" s="2" t="str">
        <f t="shared" si="8"/>
        <v/>
      </c>
      <c r="UI15" s="2" t="str">
        <f t="shared" si="8"/>
        <v/>
      </c>
      <c r="UJ15" s="2" t="str">
        <f t="shared" si="8"/>
        <v/>
      </c>
      <c r="UK15" s="2" t="str">
        <f t="shared" si="8"/>
        <v/>
      </c>
      <c r="UL15" s="2" t="str">
        <f t="shared" si="8"/>
        <v/>
      </c>
      <c r="UM15" s="2" t="str">
        <f t="shared" si="8"/>
        <v/>
      </c>
      <c r="UN15" s="2" t="str">
        <f t="shared" si="8"/>
        <v/>
      </c>
      <c r="UO15" s="2" t="str">
        <f t="shared" si="8"/>
        <v/>
      </c>
      <c r="UP15" s="2" t="str">
        <f t="shared" si="8"/>
        <v/>
      </c>
      <c r="UQ15" s="2" t="str">
        <f t="shared" si="8"/>
        <v/>
      </c>
      <c r="UR15" s="2" t="str">
        <f t="shared" si="8"/>
        <v/>
      </c>
      <c r="US15" s="2" t="str">
        <f t="shared" si="8"/>
        <v/>
      </c>
      <c r="UT15" s="2" t="str">
        <f t="shared" si="8"/>
        <v/>
      </c>
      <c r="UU15" s="2" t="str">
        <f t="shared" si="8"/>
        <v/>
      </c>
      <c r="UV15" s="2" t="str">
        <f t="shared" si="8"/>
        <v/>
      </c>
      <c r="UW15" s="2" t="str">
        <f t="shared" si="8"/>
        <v/>
      </c>
      <c r="UX15" s="2" t="str">
        <f t="shared" si="8"/>
        <v/>
      </c>
      <c r="UY15" s="2" t="str">
        <f t="shared" si="8"/>
        <v/>
      </c>
      <c r="UZ15" s="2" t="str">
        <f t="shared" si="8"/>
        <v/>
      </c>
      <c r="VA15" s="2" t="str">
        <f t="shared" si="8"/>
        <v/>
      </c>
      <c r="VB15" s="2" t="str">
        <f t="shared" si="8"/>
        <v/>
      </c>
      <c r="VC15" s="2" t="str">
        <f t="shared" si="8"/>
        <v/>
      </c>
      <c r="VD15" s="2" t="str">
        <f t="shared" si="8"/>
        <v/>
      </c>
      <c r="VE15" s="2" t="str">
        <f t="shared" si="8"/>
        <v/>
      </c>
      <c r="VF15" s="2" t="str">
        <f t="shared" si="8"/>
        <v/>
      </c>
      <c r="VG15" s="2" t="str">
        <f t="shared" si="8"/>
        <v/>
      </c>
      <c r="VH15" s="2" t="str">
        <f t="shared" si="8"/>
        <v/>
      </c>
      <c r="VI15" s="2" t="str">
        <f t="shared" ref="VI15:XT15" si="9">IF(VH$15="","",IF(VH$15+1&lt;=$C$8,VH$15+1,""))</f>
        <v/>
      </c>
      <c r="VJ15" s="2" t="str">
        <f t="shared" si="9"/>
        <v/>
      </c>
      <c r="VK15" s="2" t="str">
        <f t="shared" si="9"/>
        <v/>
      </c>
      <c r="VL15" s="2" t="str">
        <f t="shared" si="9"/>
        <v/>
      </c>
      <c r="VM15" s="2" t="str">
        <f t="shared" si="9"/>
        <v/>
      </c>
      <c r="VN15" s="2" t="str">
        <f t="shared" si="9"/>
        <v/>
      </c>
      <c r="VO15" s="2" t="str">
        <f t="shared" si="9"/>
        <v/>
      </c>
      <c r="VP15" s="2" t="str">
        <f t="shared" si="9"/>
        <v/>
      </c>
      <c r="VQ15" s="2" t="str">
        <f t="shared" si="9"/>
        <v/>
      </c>
      <c r="VR15" s="2" t="str">
        <f t="shared" si="9"/>
        <v/>
      </c>
      <c r="VS15" s="2" t="str">
        <f t="shared" si="9"/>
        <v/>
      </c>
      <c r="VT15" s="2" t="str">
        <f t="shared" si="9"/>
        <v/>
      </c>
      <c r="VU15" s="2" t="str">
        <f t="shared" si="9"/>
        <v/>
      </c>
      <c r="VV15" s="2" t="str">
        <f t="shared" si="9"/>
        <v/>
      </c>
      <c r="VW15" s="2" t="str">
        <f t="shared" si="9"/>
        <v/>
      </c>
      <c r="VX15" s="2" t="str">
        <f t="shared" si="9"/>
        <v/>
      </c>
      <c r="VY15" s="2" t="str">
        <f t="shared" si="9"/>
        <v/>
      </c>
      <c r="VZ15" s="2" t="str">
        <f t="shared" si="9"/>
        <v/>
      </c>
      <c r="WA15" s="2" t="str">
        <f t="shared" si="9"/>
        <v/>
      </c>
      <c r="WB15" s="2" t="str">
        <f t="shared" si="9"/>
        <v/>
      </c>
      <c r="WC15" s="2" t="str">
        <f t="shared" si="9"/>
        <v/>
      </c>
      <c r="WD15" s="2" t="str">
        <f t="shared" si="9"/>
        <v/>
      </c>
      <c r="WE15" s="2" t="str">
        <f t="shared" si="9"/>
        <v/>
      </c>
      <c r="WF15" s="2" t="str">
        <f t="shared" si="9"/>
        <v/>
      </c>
      <c r="WG15" s="2" t="str">
        <f t="shared" si="9"/>
        <v/>
      </c>
      <c r="WH15" s="2" t="str">
        <f t="shared" si="9"/>
        <v/>
      </c>
      <c r="WI15" s="2" t="str">
        <f t="shared" si="9"/>
        <v/>
      </c>
      <c r="WJ15" s="2" t="str">
        <f t="shared" si="9"/>
        <v/>
      </c>
      <c r="WK15" s="2" t="str">
        <f t="shared" si="9"/>
        <v/>
      </c>
      <c r="WL15" s="2" t="str">
        <f t="shared" si="9"/>
        <v/>
      </c>
      <c r="WM15" s="2" t="str">
        <f t="shared" si="9"/>
        <v/>
      </c>
      <c r="WN15" s="2" t="str">
        <f t="shared" si="9"/>
        <v/>
      </c>
      <c r="WO15" s="2" t="str">
        <f t="shared" si="9"/>
        <v/>
      </c>
      <c r="WP15" s="2" t="str">
        <f t="shared" si="9"/>
        <v/>
      </c>
      <c r="WQ15" s="2" t="str">
        <f t="shared" si="9"/>
        <v/>
      </c>
      <c r="WR15" s="2" t="str">
        <f t="shared" si="9"/>
        <v/>
      </c>
      <c r="WS15" s="2" t="str">
        <f t="shared" si="9"/>
        <v/>
      </c>
      <c r="WT15" s="2" t="str">
        <f t="shared" si="9"/>
        <v/>
      </c>
      <c r="WU15" s="2" t="str">
        <f t="shared" si="9"/>
        <v/>
      </c>
      <c r="WV15" s="2" t="str">
        <f t="shared" si="9"/>
        <v/>
      </c>
      <c r="WW15" s="2" t="str">
        <f t="shared" si="9"/>
        <v/>
      </c>
      <c r="WX15" s="2" t="str">
        <f t="shared" si="9"/>
        <v/>
      </c>
      <c r="WY15" s="2" t="str">
        <f t="shared" si="9"/>
        <v/>
      </c>
      <c r="WZ15" s="2" t="str">
        <f t="shared" si="9"/>
        <v/>
      </c>
      <c r="XA15" s="2" t="str">
        <f t="shared" si="9"/>
        <v/>
      </c>
      <c r="XB15" s="2" t="str">
        <f t="shared" si="9"/>
        <v/>
      </c>
      <c r="XC15" s="2" t="str">
        <f t="shared" si="9"/>
        <v/>
      </c>
      <c r="XD15" s="2" t="str">
        <f t="shared" si="9"/>
        <v/>
      </c>
      <c r="XE15" s="2" t="str">
        <f t="shared" si="9"/>
        <v/>
      </c>
      <c r="XF15" s="2" t="str">
        <f t="shared" si="9"/>
        <v/>
      </c>
      <c r="XG15" s="2" t="str">
        <f t="shared" si="9"/>
        <v/>
      </c>
      <c r="XH15" s="2" t="str">
        <f t="shared" si="9"/>
        <v/>
      </c>
      <c r="XI15" s="2" t="str">
        <f t="shared" si="9"/>
        <v/>
      </c>
      <c r="XJ15" s="2" t="str">
        <f t="shared" si="9"/>
        <v/>
      </c>
      <c r="XK15" s="2" t="str">
        <f t="shared" si="9"/>
        <v/>
      </c>
      <c r="XL15" s="2" t="str">
        <f t="shared" si="9"/>
        <v/>
      </c>
      <c r="XM15" s="2" t="str">
        <f t="shared" si="9"/>
        <v/>
      </c>
      <c r="XN15" s="2" t="str">
        <f t="shared" si="9"/>
        <v/>
      </c>
      <c r="XO15" s="2" t="str">
        <f t="shared" si="9"/>
        <v/>
      </c>
      <c r="XP15" s="2" t="str">
        <f t="shared" si="9"/>
        <v/>
      </c>
      <c r="XQ15" s="2" t="str">
        <f t="shared" si="9"/>
        <v/>
      </c>
      <c r="XR15" s="2" t="str">
        <f t="shared" si="9"/>
        <v/>
      </c>
      <c r="XS15" s="2" t="str">
        <f t="shared" si="9"/>
        <v/>
      </c>
      <c r="XT15" s="2" t="str">
        <f t="shared" si="9"/>
        <v/>
      </c>
      <c r="XU15" s="2" t="str">
        <f t="shared" ref="XU15:ZZ15" si="10">IF(XT$15="","",IF(XT$15+1&lt;=$C$8,XT$15+1,""))</f>
        <v/>
      </c>
      <c r="XV15" s="2" t="str">
        <f t="shared" si="10"/>
        <v/>
      </c>
      <c r="XW15" s="2" t="str">
        <f t="shared" si="10"/>
        <v/>
      </c>
      <c r="XX15" s="2" t="str">
        <f t="shared" si="10"/>
        <v/>
      </c>
      <c r="XY15" s="2" t="str">
        <f t="shared" si="10"/>
        <v/>
      </c>
      <c r="XZ15" s="2" t="str">
        <f t="shared" si="10"/>
        <v/>
      </c>
      <c r="YA15" s="2" t="str">
        <f t="shared" si="10"/>
        <v/>
      </c>
      <c r="YB15" s="2" t="str">
        <f t="shared" si="10"/>
        <v/>
      </c>
      <c r="YC15" s="2" t="str">
        <f t="shared" si="10"/>
        <v/>
      </c>
      <c r="YD15" s="2" t="str">
        <f t="shared" si="10"/>
        <v/>
      </c>
      <c r="YE15" s="2" t="str">
        <f t="shared" si="10"/>
        <v/>
      </c>
      <c r="YF15" s="2" t="str">
        <f t="shared" si="10"/>
        <v/>
      </c>
      <c r="YG15" s="2" t="str">
        <f t="shared" si="10"/>
        <v/>
      </c>
      <c r="YH15" s="2" t="str">
        <f t="shared" si="10"/>
        <v/>
      </c>
      <c r="YI15" s="2" t="str">
        <f t="shared" si="10"/>
        <v/>
      </c>
      <c r="YJ15" s="2" t="str">
        <f t="shared" si="10"/>
        <v/>
      </c>
      <c r="YK15" s="2" t="str">
        <f t="shared" si="10"/>
        <v/>
      </c>
      <c r="YL15" s="2" t="str">
        <f t="shared" si="10"/>
        <v/>
      </c>
      <c r="YM15" s="2" t="str">
        <f t="shared" si="10"/>
        <v/>
      </c>
      <c r="YN15" s="2" t="str">
        <f t="shared" si="10"/>
        <v/>
      </c>
      <c r="YO15" s="2" t="str">
        <f t="shared" si="10"/>
        <v/>
      </c>
      <c r="YP15" s="2" t="str">
        <f t="shared" si="10"/>
        <v/>
      </c>
      <c r="YQ15" s="2" t="str">
        <f t="shared" si="10"/>
        <v/>
      </c>
      <c r="YR15" s="2" t="str">
        <f t="shared" si="10"/>
        <v/>
      </c>
      <c r="YS15" s="2" t="str">
        <f t="shared" si="10"/>
        <v/>
      </c>
      <c r="YT15" s="2" t="str">
        <f t="shared" si="10"/>
        <v/>
      </c>
      <c r="YU15" s="2" t="str">
        <f t="shared" si="10"/>
        <v/>
      </c>
      <c r="YV15" s="2" t="str">
        <f t="shared" si="10"/>
        <v/>
      </c>
      <c r="YW15" s="2" t="str">
        <f t="shared" si="10"/>
        <v/>
      </c>
      <c r="YX15" s="2" t="str">
        <f t="shared" si="10"/>
        <v/>
      </c>
      <c r="YY15" s="2" t="str">
        <f t="shared" si="10"/>
        <v/>
      </c>
      <c r="YZ15" s="2" t="str">
        <f t="shared" si="10"/>
        <v/>
      </c>
      <c r="ZA15" s="2" t="str">
        <f t="shared" si="10"/>
        <v/>
      </c>
      <c r="ZB15" s="2" t="str">
        <f t="shared" si="10"/>
        <v/>
      </c>
      <c r="ZC15" s="2" t="str">
        <f t="shared" si="10"/>
        <v/>
      </c>
      <c r="ZD15" s="2" t="str">
        <f t="shared" si="10"/>
        <v/>
      </c>
      <c r="ZE15" s="2" t="str">
        <f t="shared" si="10"/>
        <v/>
      </c>
      <c r="ZF15" s="2" t="str">
        <f t="shared" si="10"/>
        <v/>
      </c>
      <c r="ZG15" s="2" t="str">
        <f t="shared" si="10"/>
        <v/>
      </c>
      <c r="ZH15" s="2" t="str">
        <f t="shared" si="10"/>
        <v/>
      </c>
      <c r="ZI15" s="2" t="str">
        <f t="shared" si="10"/>
        <v/>
      </c>
      <c r="ZJ15" s="2" t="str">
        <f t="shared" si="10"/>
        <v/>
      </c>
      <c r="ZK15" s="2" t="str">
        <f t="shared" si="10"/>
        <v/>
      </c>
      <c r="ZL15" s="2" t="str">
        <f t="shared" si="10"/>
        <v/>
      </c>
      <c r="ZM15" s="2" t="str">
        <f t="shared" si="10"/>
        <v/>
      </c>
      <c r="ZN15" s="2" t="str">
        <f t="shared" si="10"/>
        <v/>
      </c>
      <c r="ZO15" s="2" t="str">
        <f t="shared" si="10"/>
        <v/>
      </c>
      <c r="ZP15" s="2" t="str">
        <f t="shared" si="10"/>
        <v/>
      </c>
      <c r="ZQ15" s="2" t="str">
        <f t="shared" si="10"/>
        <v/>
      </c>
      <c r="ZR15" s="2" t="str">
        <f t="shared" si="10"/>
        <v/>
      </c>
      <c r="ZS15" s="2" t="str">
        <f t="shared" si="10"/>
        <v/>
      </c>
      <c r="ZT15" s="2" t="str">
        <f t="shared" si="10"/>
        <v/>
      </c>
      <c r="ZU15" s="2" t="str">
        <f t="shared" si="10"/>
        <v/>
      </c>
      <c r="ZV15" s="2" t="str">
        <f t="shared" si="10"/>
        <v/>
      </c>
      <c r="ZW15" s="2" t="str">
        <f t="shared" si="10"/>
        <v/>
      </c>
      <c r="ZX15" s="2" t="str">
        <f t="shared" si="10"/>
        <v/>
      </c>
      <c r="ZY15" s="2" t="str">
        <f t="shared" si="10"/>
        <v/>
      </c>
      <c r="ZZ15" s="2" t="str">
        <f t="shared" si="10"/>
        <v/>
      </c>
    </row>
    <row r="16" spans="2:702" ht="15" customHeight="1" x14ac:dyDescent="0.2">
      <c r="B16" s="10" t="s">
        <v>1</v>
      </c>
      <c r="C16" s="8"/>
      <c r="D16" s="5"/>
      <c r="E16" s="5"/>
    </row>
    <row r="17" spans="2:63" ht="15" customHeight="1" x14ac:dyDescent="0.2">
      <c r="B17" s="4" t="s">
        <v>2</v>
      </c>
      <c r="C17" s="15">
        <f t="shared" ref="C17:AE17" si="11">$AG17/(1-(C$15-$AG$15)/100)</f>
        <v>1000</v>
      </c>
      <c r="D17" s="15">
        <f t="shared" si="11"/>
        <v>1007.7519379844961</v>
      </c>
      <c r="E17" s="15">
        <f t="shared" si="11"/>
        <v>1015.625</v>
      </c>
      <c r="F17" s="15">
        <f t="shared" si="11"/>
        <v>1023.6220472440945</v>
      </c>
      <c r="G17" s="15">
        <f t="shared" si="11"/>
        <v>1031.7460317460318</v>
      </c>
      <c r="H17" s="15">
        <f t="shared" si="11"/>
        <v>1040</v>
      </c>
      <c r="I17" s="15">
        <f t="shared" si="11"/>
        <v>1048.3870967741937</v>
      </c>
      <c r="J17" s="15">
        <f t="shared" si="11"/>
        <v>1056.9105691056911</v>
      </c>
      <c r="K17" s="15">
        <f t="shared" si="11"/>
        <v>1065.5737704918033</v>
      </c>
      <c r="L17" s="15">
        <f t="shared" si="11"/>
        <v>1074.3801652892562</v>
      </c>
      <c r="M17" s="15">
        <f t="shared" si="11"/>
        <v>1083.3333333333335</v>
      </c>
      <c r="N17" s="15">
        <f t="shared" si="11"/>
        <v>1092.4369747899161</v>
      </c>
      <c r="O17" s="15">
        <f t="shared" si="11"/>
        <v>1101.6949152542375</v>
      </c>
      <c r="P17" s="15">
        <f t="shared" si="11"/>
        <v>1111.1111111111111</v>
      </c>
      <c r="Q17" s="15">
        <f t="shared" si="11"/>
        <v>1120.6896551724139</v>
      </c>
      <c r="R17" s="15">
        <f t="shared" si="11"/>
        <v>1130.4347826086957</v>
      </c>
      <c r="S17" s="15">
        <f t="shared" si="11"/>
        <v>1140.3508771929824</v>
      </c>
      <c r="T17" s="15">
        <f t="shared" si="11"/>
        <v>1150.4424778761063</v>
      </c>
      <c r="U17" s="15">
        <f t="shared" si="11"/>
        <v>1160.7142857142856</v>
      </c>
      <c r="V17" s="15">
        <f t="shared" si="11"/>
        <v>1171.1711711711712</v>
      </c>
      <c r="W17" s="15">
        <f t="shared" si="11"/>
        <v>1181.8181818181818</v>
      </c>
      <c r="X17" s="15">
        <f t="shared" si="11"/>
        <v>1192.6605504587155</v>
      </c>
      <c r="Y17" s="15">
        <f t="shared" si="11"/>
        <v>1203.7037037037037</v>
      </c>
      <c r="Z17" s="15">
        <f t="shared" si="11"/>
        <v>1214.9532710280373</v>
      </c>
      <c r="AA17" s="15">
        <f t="shared" si="11"/>
        <v>1226.4150943396226</v>
      </c>
      <c r="AB17" s="15">
        <f t="shared" si="11"/>
        <v>1238.0952380952381</v>
      </c>
      <c r="AC17" s="15">
        <f t="shared" si="11"/>
        <v>1250</v>
      </c>
      <c r="AD17" s="15">
        <f t="shared" si="11"/>
        <v>1262.1359223300969</v>
      </c>
      <c r="AE17" s="15">
        <f t="shared" si="11"/>
        <v>1274.5098039215686</v>
      </c>
      <c r="AF17" s="15">
        <f>$AG17/(1-(AF$15-$AG$15)/100)</f>
        <v>1287.128712871287</v>
      </c>
      <c r="AG17" s="36">
        <v>1300</v>
      </c>
      <c r="AH17" s="15">
        <f>$AG17*(1+(AH$15-$AG$15)/100)</f>
        <v>1313</v>
      </c>
      <c r="AI17" s="15">
        <f t="shared" ref="AI17:BK17" si="12">$AG17*(1+(AI$15-$AG$15)/100)</f>
        <v>1326</v>
      </c>
      <c r="AJ17" s="15">
        <f t="shared" si="12"/>
        <v>1339</v>
      </c>
      <c r="AK17" s="15">
        <f t="shared" si="12"/>
        <v>1352</v>
      </c>
      <c r="AL17" s="15">
        <f t="shared" si="12"/>
        <v>1365</v>
      </c>
      <c r="AM17" s="15">
        <f t="shared" si="12"/>
        <v>1378</v>
      </c>
      <c r="AN17" s="15">
        <f t="shared" si="12"/>
        <v>1391</v>
      </c>
      <c r="AO17" s="15">
        <f t="shared" si="12"/>
        <v>1404</v>
      </c>
      <c r="AP17" s="15">
        <f t="shared" si="12"/>
        <v>1417</v>
      </c>
      <c r="AQ17" s="15">
        <f t="shared" si="12"/>
        <v>1430.0000000000002</v>
      </c>
      <c r="AR17" s="15">
        <f t="shared" si="12"/>
        <v>1443.0000000000002</v>
      </c>
      <c r="AS17" s="15">
        <f t="shared" si="12"/>
        <v>1456.0000000000002</v>
      </c>
      <c r="AT17" s="15">
        <f t="shared" si="12"/>
        <v>1468.9999999999998</v>
      </c>
      <c r="AU17" s="15">
        <f t="shared" si="12"/>
        <v>1482.0000000000002</v>
      </c>
      <c r="AV17" s="15">
        <f t="shared" si="12"/>
        <v>1494.9999999999998</v>
      </c>
      <c r="AW17" s="15">
        <f t="shared" si="12"/>
        <v>1508</v>
      </c>
      <c r="AX17" s="15">
        <f t="shared" si="12"/>
        <v>1521</v>
      </c>
      <c r="AY17" s="15">
        <f t="shared" si="12"/>
        <v>1534</v>
      </c>
      <c r="AZ17" s="15">
        <f t="shared" si="12"/>
        <v>1547</v>
      </c>
      <c r="BA17" s="15">
        <f t="shared" si="12"/>
        <v>1560</v>
      </c>
      <c r="BB17" s="15">
        <f t="shared" si="12"/>
        <v>1573</v>
      </c>
      <c r="BC17" s="15">
        <f t="shared" si="12"/>
        <v>1586</v>
      </c>
      <c r="BD17" s="15">
        <f t="shared" si="12"/>
        <v>1599</v>
      </c>
      <c r="BE17" s="15">
        <f t="shared" si="12"/>
        <v>1612</v>
      </c>
      <c r="BF17" s="15">
        <f t="shared" si="12"/>
        <v>1625</v>
      </c>
      <c r="BG17" s="15">
        <f t="shared" si="12"/>
        <v>1638</v>
      </c>
      <c r="BH17" s="15">
        <f t="shared" si="12"/>
        <v>1651</v>
      </c>
      <c r="BI17" s="15">
        <f t="shared" si="12"/>
        <v>1664</v>
      </c>
      <c r="BJ17" s="15">
        <f t="shared" si="12"/>
        <v>1677</v>
      </c>
      <c r="BK17" s="15">
        <f t="shared" si="12"/>
        <v>1690</v>
      </c>
    </row>
    <row r="18" spans="2:63" ht="15" customHeight="1" x14ac:dyDescent="0.2">
      <c r="B18" s="4" t="s">
        <v>3</v>
      </c>
      <c r="C18" s="15">
        <f t="shared" ref="C18:K18" si="13">$M18</f>
        <v>12</v>
      </c>
      <c r="D18" s="15">
        <f t="shared" si="13"/>
        <v>12</v>
      </c>
      <c r="E18" s="15">
        <f t="shared" si="13"/>
        <v>12</v>
      </c>
      <c r="F18" s="15">
        <f t="shared" si="13"/>
        <v>12</v>
      </c>
      <c r="G18" s="15">
        <f t="shared" si="13"/>
        <v>12</v>
      </c>
      <c r="H18" s="15">
        <f t="shared" si="13"/>
        <v>12</v>
      </c>
      <c r="I18" s="15">
        <f t="shared" si="13"/>
        <v>12</v>
      </c>
      <c r="J18" s="15">
        <f t="shared" si="13"/>
        <v>12</v>
      </c>
      <c r="K18" s="15">
        <f t="shared" si="13"/>
        <v>12</v>
      </c>
      <c r="L18" s="15">
        <f>$M18</f>
        <v>12</v>
      </c>
      <c r="M18" s="36">
        <v>12</v>
      </c>
      <c r="N18" s="15">
        <f>$M18+($AG18-$M18)/($AG$15-$M$15)*(N$15-$M$15)</f>
        <v>12.2</v>
      </c>
      <c r="O18" s="15">
        <f t="shared" ref="O18:AF18" si="14">$M18+($AG18-$M18)/($AG$15-$M$15)*(O$15-$M$15)</f>
        <v>12.4</v>
      </c>
      <c r="P18" s="15">
        <f t="shared" si="14"/>
        <v>12.6</v>
      </c>
      <c r="Q18" s="15">
        <f t="shared" si="14"/>
        <v>12.8</v>
      </c>
      <c r="R18" s="15">
        <f t="shared" si="14"/>
        <v>13</v>
      </c>
      <c r="S18" s="15">
        <f t="shared" si="14"/>
        <v>13.2</v>
      </c>
      <c r="T18" s="15">
        <f t="shared" si="14"/>
        <v>13.4</v>
      </c>
      <c r="U18" s="15">
        <f t="shared" si="14"/>
        <v>13.6</v>
      </c>
      <c r="V18" s="15">
        <f t="shared" si="14"/>
        <v>13.8</v>
      </c>
      <c r="W18" s="15">
        <f t="shared" si="14"/>
        <v>14</v>
      </c>
      <c r="X18" s="15">
        <f t="shared" si="14"/>
        <v>14.2</v>
      </c>
      <c r="Y18" s="15">
        <f t="shared" si="14"/>
        <v>14.4</v>
      </c>
      <c r="Z18" s="15">
        <f t="shared" si="14"/>
        <v>14.6</v>
      </c>
      <c r="AA18" s="15">
        <f t="shared" si="14"/>
        <v>14.8</v>
      </c>
      <c r="AB18" s="15">
        <f t="shared" si="14"/>
        <v>15</v>
      </c>
      <c r="AC18" s="15">
        <f t="shared" si="14"/>
        <v>15.2</v>
      </c>
      <c r="AD18" s="15">
        <f t="shared" si="14"/>
        <v>15.4</v>
      </c>
      <c r="AE18" s="15">
        <f t="shared" si="14"/>
        <v>15.6</v>
      </c>
      <c r="AF18" s="15">
        <f t="shared" si="14"/>
        <v>15.8</v>
      </c>
      <c r="AG18" s="36">
        <v>16</v>
      </c>
      <c r="AH18" s="15">
        <f>$AG18</f>
        <v>16</v>
      </c>
      <c r="AI18" s="15">
        <f t="shared" ref="AI18:BK18" si="15">$AG18</f>
        <v>16</v>
      </c>
      <c r="AJ18" s="15">
        <f t="shared" si="15"/>
        <v>16</v>
      </c>
      <c r="AK18" s="15">
        <f t="shared" si="15"/>
        <v>16</v>
      </c>
      <c r="AL18" s="15">
        <f t="shared" si="15"/>
        <v>16</v>
      </c>
      <c r="AM18" s="15">
        <f t="shared" si="15"/>
        <v>16</v>
      </c>
      <c r="AN18" s="15">
        <f t="shared" si="15"/>
        <v>16</v>
      </c>
      <c r="AO18" s="15">
        <f t="shared" si="15"/>
        <v>16</v>
      </c>
      <c r="AP18" s="15">
        <f t="shared" si="15"/>
        <v>16</v>
      </c>
      <c r="AQ18" s="15">
        <f t="shared" si="15"/>
        <v>16</v>
      </c>
      <c r="AR18" s="15">
        <f t="shared" si="15"/>
        <v>16</v>
      </c>
      <c r="AS18" s="15">
        <f t="shared" si="15"/>
        <v>16</v>
      </c>
      <c r="AT18" s="15">
        <f t="shared" si="15"/>
        <v>16</v>
      </c>
      <c r="AU18" s="15">
        <f t="shared" si="15"/>
        <v>16</v>
      </c>
      <c r="AV18" s="15">
        <f t="shared" si="15"/>
        <v>16</v>
      </c>
      <c r="AW18" s="15">
        <f t="shared" si="15"/>
        <v>16</v>
      </c>
      <c r="AX18" s="15">
        <f t="shared" si="15"/>
        <v>16</v>
      </c>
      <c r="AY18" s="15">
        <f t="shared" si="15"/>
        <v>16</v>
      </c>
      <c r="AZ18" s="15">
        <f t="shared" si="15"/>
        <v>16</v>
      </c>
      <c r="BA18" s="15">
        <f t="shared" si="15"/>
        <v>16</v>
      </c>
      <c r="BB18" s="15">
        <f t="shared" si="15"/>
        <v>16</v>
      </c>
      <c r="BC18" s="15">
        <f t="shared" si="15"/>
        <v>16</v>
      </c>
      <c r="BD18" s="15">
        <f t="shared" si="15"/>
        <v>16</v>
      </c>
      <c r="BE18" s="15">
        <f t="shared" si="15"/>
        <v>16</v>
      </c>
      <c r="BF18" s="15">
        <f t="shared" si="15"/>
        <v>16</v>
      </c>
      <c r="BG18" s="15">
        <f t="shared" si="15"/>
        <v>16</v>
      </c>
      <c r="BH18" s="15">
        <f t="shared" si="15"/>
        <v>16</v>
      </c>
      <c r="BI18" s="15">
        <f t="shared" si="15"/>
        <v>16</v>
      </c>
      <c r="BJ18" s="15">
        <f t="shared" si="15"/>
        <v>16</v>
      </c>
      <c r="BK18" s="15">
        <f t="shared" si="15"/>
        <v>16</v>
      </c>
    </row>
    <row r="19" spans="2:63" ht="15" customHeight="1" x14ac:dyDescent="0.2">
      <c r="B19" s="4" t="s">
        <v>4</v>
      </c>
      <c r="C19" s="15">
        <f t="shared" ref="C19:AE22" si="16">$AG19</f>
        <v>37</v>
      </c>
      <c r="D19" s="15">
        <f t="shared" si="16"/>
        <v>37</v>
      </c>
      <c r="E19" s="15">
        <f t="shared" si="16"/>
        <v>37</v>
      </c>
      <c r="F19" s="15">
        <f t="shared" si="16"/>
        <v>37</v>
      </c>
      <c r="G19" s="15">
        <f t="shared" si="16"/>
        <v>37</v>
      </c>
      <c r="H19" s="15">
        <f t="shared" si="16"/>
        <v>37</v>
      </c>
      <c r="I19" s="15">
        <f t="shared" si="16"/>
        <v>37</v>
      </c>
      <c r="J19" s="15">
        <f t="shared" si="16"/>
        <v>37</v>
      </c>
      <c r="K19" s="15">
        <f t="shared" si="16"/>
        <v>37</v>
      </c>
      <c r="L19" s="15">
        <f t="shared" si="16"/>
        <v>37</v>
      </c>
      <c r="M19" s="15">
        <f t="shared" si="16"/>
        <v>37</v>
      </c>
      <c r="N19" s="15">
        <f t="shared" si="16"/>
        <v>37</v>
      </c>
      <c r="O19" s="15">
        <f t="shared" si="16"/>
        <v>37</v>
      </c>
      <c r="P19" s="15">
        <f t="shared" si="16"/>
        <v>37</v>
      </c>
      <c r="Q19" s="15">
        <f t="shared" si="16"/>
        <v>37</v>
      </c>
      <c r="R19" s="15">
        <f t="shared" si="16"/>
        <v>37</v>
      </c>
      <c r="S19" s="15">
        <f t="shared" si="16"/>
        <v>37</v>
      </c>
      <c r="T19" s="15">
        <f t="shared" si="16"/>
        <v>37</v>
      </c>
      <c r="U19" s="15">
        <f t="shared" si="16"/>
        <v>37</v>
      </c>
      <c r="V19" s="15">
        <f t="shared" si="16"/>
        <v>37</v>
      </c>
      <c r="W19" s="15">
        <f t="shared" si="16"/>
        <v>37</v>
      </c>
      <c r="X19" s="15">
        <f t="shared" si="16"/>
        <v>37</v>
      </c>
      <c r="Y19" s="15">
        <f t="shared" si="16"/>
        <v>37</v>
      </c>
      <c r="Z19" s="15">
        <f t="shared" si="16"/>
        <v>37</v>
      </c>
      <c r="AA19" s="15">
        <f t="shared" si="16"/>
        <v>37</v>
      </c>
      <c r="AB19" s="15">
        <f t="shared" si="16"/>
        <v>37</v>
      </c>
      <c r="AC19" s="15">
        <f t="shared" si="16"/>
        <v>37</v>
      </c>
      <c r="AD19" s="15">
        <f t="shared" si="16"/>
        <v>37</v>
      </c>
      <c r="AE19" s="15">
        <f t="shared" si="16"/>
        <v>37</v>
      </c>
      <c r="AF19" s="15">
        <f t="shared" ref="AF19:AF21" si="17">$AG19</f>
        <v>37</v>
      </c>
      <c r="AG19" s="36">
        <v>37</v>
      </c>
      <c r="AH19" s="15">
        <f t="shared" ref="AH19:BI22" si="18">$AG19+($BK19-$AG19)/($BK$15-$AG$15)*(AH$15-$AG$15)</f>
        <v>37.493333333333332</v>
      </c>
      <c r="AI19" s="15">
        <f t="shared" si="18"/>
        <v>37.986666666666665</v>
      </c>
      <c r="AJ19" s="15">
        <f t="shared" si="18"/>
        <v>38.479999999999997</v>
      </c>
      <c r="AK19" s="15">
        <f t="shared" si="18"/>
        <v>38.973333333333336</v>
      </c>
      <c r="AL19" s="15">
        <f t="shared" si="18"/>
        <v>39.466666666666669</v>
      </c>
      <c r="AM19" s="15">
        <f t="shared" si="18"/>
        <v>39.96</v>
      </c>
      <c r="AN19" s="15">
        <f t="shared" si="18"/>
        <v>40.453333333333333</v>
      </c>
      <c r="AO19" s="15">
        <f t="shared" si="18"/>
        <v>40.946666666666665</v>
      </c>
      <c r="AP19" s="15">
        <f t="shared" si="18"/>
        <v>41.44</v>
      </c>
      <c r="AQ19" s="15">
        <f t="shared" si="18"/>
        <v>41.93333333333333</v>
      </c>
      <c r="AR19" s="15">
        <f t="shared" si="18"/>
        <v>42.426666666666662</v>
      </c>
      <c r="AS19" s="15">
        <f t="shared" si="18"/>
        <v>42.92</v>
      </c>
      <c r="AT19" s="15">
        <f t="shared" si="18"/>
        <v>43.413333333333334</v>
      </c>
      <c r="AU19" s="15">
        <f t="shared" si="18"/>
        <v>43.906666666666666</v>
      </c>
      <c r="AV19" s="15">
        <f t="shared" si="18"/>
        <v>44.4</v>
      </c>
      <c r="AW19" s="15">
        <f t="shared" si="18"/>
        <v>44.893333333333331</v>
      </c>
      <c r="AX19" s="15">
        <f t="shared" si="18"/>
        <v>45.386666666666663</v>
      </c>
      <c r="AY19" s="15">
        <f t="shared" si="18"/>
        <v>45.879999999999995</v>
      </c>
      <c r="AZ19" s="15">
        <f t="shared" si="18"/>
        <v>46.373333333333335</v>
      </c>
      <c r="BA19" s="15">
        <f t="shared" si="18"/>
        <v>46.866666666666667</v>
      </c>
      <c r="BB19" s="15">
        <f t="shared" si="18"/>
        <v>47.36</v>
      </c>
      <c r="BC19" s="15">
        <f t="shared" si="18"/>
        <v>47.853333333333332</v>
      </c>
      <c r="BD19" s="15">
        <f t="shared" si="18"/>
        <v>48.346666666666664</v>
      </c>
      <c r="BE19" s="15">
        <f t="shared" si="18"/>
        <v>48.839999999999996</v>
      </c>
      <c r="BF19" s="15">
        <f t="shared" si="18"/>
        <v>49.333333333333329</v>
      </c>
      <c r="BG19" s="15">
        <f t="shared" si="18"/>
        <v>49.826666666666668</v>
      </c>
      <c r="BH19" s="15">
        <f t="shared" si="18"/>
        <v>50.319999999999993</v>
      </c>
      <c r="BI19" s="15">
        <f t="shared" si="18"/>
        <v>50.813333333333333</v>
      </c>
      <c r="BJ19" s="15">
        <f>$AG19+($BK19-$AG19)/($BK$15-$AG$15)*(BJ$15-$AG$15)</f>
        <v>51.306666666666665</v>
      </c>
      <c r="BK19" s="36">
        <f>AG19*1.4</f>
        <v>51.8</v>
      </c>
    </row>
    <row r="20" spans="2:63" ht="15" customHeight="1" x14ac:dyDescent="0.2">
      <c r="B20" s="4" t="s">
        <v>5</v>
      </c>
      <c r="C20" s="15">
        <f t="shared" si="16"/>
        <v>12</v>
      </c>
      <c r="D20" s="15">
        <f t="shared" si="16"/>
        <v>12</v>
      </c>
      <c r="E20" s="15">
        <f t="shared" si="16"/>
        <v>12</v>
      </c>
      <c r="F20" s="15">
        <f t="shared" si="16"/>
        <v>12</v>
      </c>
      <c r="G20" s="15">
        <f t="shared" si="16"/>
        <v>12</v>
      </c>
      <c r="H20" s="15">
        <f t="shared" si="16"/>
        <v>12</v>
      </c>
      <c r="I20" s="15">
        <f t="shared" si="16"/>
        <v>12</v>
      </c>
      <c r="J20" s="15">
        <f t="shared" si="16"/>
        <v>12</v>
      </c>
      <c r="K20" s="15">
        <f t="shared" si="16"/>
        <v>12</v>
      </c>
      <c r="L20" s="15">
        <f t="shared" si="16"/>
        <v>12</v>
      </c>
      <c r="M20" s="15">
        <f t="shared" si="16"/>
        <v>12</v>
      </c>
      <c r="N20" s="15">
        <f t="shared" si="16"/>
        <v>12</v>
      </c>
      <c r="O20" s="15">
        <f t="shared" si="16"/>
        <v>12</v>
      </c>
      <c r="P20" s="15">
        <f t="shared" si="16"/>
        <v>12</v>
      </c>
      <c r="Q20" s="15">
        <f t="shared" si="16"/>
        <v>12</v>
      </c>
      <c r="R20" s="15">
        <f t="shared" si="16"/>
        <v>12</v>
      </c>
      <c r="S20" s="15">
        <f t="shared" si="16"/>
        <v>12</v>
      </c>
      <c r="T20" s="15">
        <f t="shared" si="16"/>
        <v>12</v>
      </c>
      <c r="U20" s="15">
        <f t="shared" si="16"/>
        <v>12</v>
      </c>
      <c r="V20" s="15">
        <f t="shared" si="16"/>
        <v>12</v>
      </c>
      <c r="W20" s="15">
        <f t="shared" si="16"/>
        <v>12</v>
      </c>
      <c r="X20" s="15">
        <f t="shared" si="16"/>
        <v>12</v>
      </c>
      <c r="Y20" s="15">
        <f t="shared" si="16"/>
        <v>12</v>
      </c>
      <c r="Z20" s="15">
        <f t="shared" si="16"/>
        <v>12</v>
      </c>
      <c r="AA20" s="15">
        <f t="shared" si="16"/>
        <v>12</v>
      </c>
      <c r="AB20" s="15">
        <f t="shared" si="16"/>
        <v>12</v>
      </c>
      <c r="AC20" s="15">
        <f t="shared" si="16"/>
        <v>12</v>
      </c>
      <c r="AD20" s="15">
        <f t="shared" si="16"/>
        <v>12</v>
      </c>
      <c r="AE20" s="15">
        <f t="shared" si="16"/>
        <v>12</v>
      </c>
      <c r="AF20" s="15">
        <f t="shared" si="17"/>
        <v>12</v>
      </c>
      <c r="AG20" s="36">
        <v>12</v>
      </c>
      <c r="AH20" s="15">
        <f t="shared" si="18"/>
        <v>11.92</v>
      </c>
      <c r="AI20" s="15">
        <f t="shared" si="18"/>
        <v>11.84</v>
      </c>
      <c r="AJ20" s="15">
        <f t="shared" si="18"/>
        <v>11.76</v>
      </c>
      <c r="AK20" s="15">
        <f t="shared" si="18"/>
        <v>11.68</v>
      </c>
      <c r="AL20" s="15">
        <f t="shared" si="18"/>
        <v>11.6</v>
      </c>
      <c r="AM20" s="15">
        <f t="shared" si="18"/>
        <v>11.52</v>
      </c>
      <c r="AN20" s="15">
        <f t="shared" si="18"/>
        <v>11.440000000000001</v>
      </c>
      <c r="AO20" s="15">
        <f t="shared" si="18"/>
        <v>11.360000000000001</v>
      </c>
      <c r="AP20" s="15">
        <f t="shared" si="18"/>
        <v>11.280000000000001</v>
      </c>
      <c r="AQ20" s="15">
        <f t="shared" si="18"/>
        <v>11.200000000000001</v>
      </c>
      <c r="AR20" s="15">
        <f t="shared" si="18"/>
        <v>11.120000000000001</v>
      </c>
      <c r="AS20" s="15">
        <f t="shared" si="18"/>
        <v>11.040000000000001</v>
      </c>
      <c r="AT20" s="15">
        <f t="shared" si="18"/>
        <v>10.96</v>
      </c>
      <c r="AU20" s="15">
        <f t="shared" si="18"/>
        <v>10.88</v>
      </c>
      <c r="AV20" s="15">
        <f t="shared" si="18"/>
        <v>10.8</v>
      </c>
      <c r="AW20" s="15">
        <f t="shared" si="18"/>
        <v>10.72</v>
      </c>
      <c r="AX20" s="15">
        <f t="shared" si="18"/>
        <v>10.64</v>
      </c>
      <c r="AY20" s="15">
        <f t="shared" si="18"/>
        <v>10.56</v>
      </c>
      <c r="AZ20" s="15">
        <f t="shared" si="18"/>
        <v>10.48</v>
      </c>
      <c r="BA20" s="15">
        <f t="shared" si="18"/>
        <v>10.4</v>
      </c>
      <c r="BB20" s="15">
        <f t="shared" si="18"/>
        <v>10.32</v>
      </c>
      <c r="BC20" s="15">
        <f t="shared" si="18"/>
        <v>10.240000000000002</v>
      </c>
      <c r="BD20" s="15">
        <f t="shared" si="18"/>
        <v>10.160000000000002</v>
      </c>
      <c r="BE20" s="15">
        <f t="shared" si="18"/>
        <v>10.080000000000002</v>
      </c>
      <c r="BF20" s="15">
        <f t="shared" si="18"/>
        <v>10.000000000000002</v>
      </c>
      <c r="BG20" s="15">
        <f t="shared" si="18"/>
        <v>9.9200000000000017</v>
      </c>
      <c r="BH20" s="15">
        <f t="shared" si="18"/>
        <v>9.8400000000000016</v>
      </c>
      <c r="BI20" s="15">
        <f t="shared" si="18"/>
        <v>9.7600000000000016</v>
      </c>
      <c r="BJ20" s="15">
        <f>$AG20+($BK20-$AG20)/($BK$15-$AG$15)*(BJ$15-$AG$15)</f>
        <v>9.6800000000000015</v>
      </c>
      <c r="BK20" s="36">
        <f>AG20*0.8</f>
        <v>9.6000000000000014</v>
      </c>
    </row>
    <row r="21" spans="2:63" ht="15" customHeight="1" x14ac:dyDescent="0.2">
      <c r="B21" s="4" t="s">
        <v>6</v>
      </c>
      <c r="C21" s="15">
        <f t="shared" si="16"/>
        <v>10</v>
      </c>
      <c r="D21" s="15">
        <f t="shared" si="16"/>
        <v>10</v>
      </c>
      <c r="E21" s="15">
        <f t="shared" si="16"/>
        <v>10</v>
      </c>
      <c r="F21" s="15">
        <f t="shared" si="16"/>
        <v>10</v>
      </c>
      <c r="G21" s="15">
        <f t="shared" si="16"/>
        <v>10</v>
      </c>
      <c r="H21" s="15">
        <f t="shared" si="16"/>
        <v>10</v>
      </c>
      <c r="I21" s="15">
        <f t="shared" si="16"/>
        <v>10</v>
      </c>
      <c r="J21" s="15">
        <f t="shared" si="16"/>
        <v>10</v>
      </c>
      <c r="K21" s="15">
        <f t="shared" si="16"/>
        <v>10</v>
      </c>
      <c r="L21" s="15">
        <f t="shared" si="16"/>
        <v>10</v>
      </c>
      <c r="M21" s="15">
        <f t="shared" si="16"/>
        <v>10</v>
      </c>
      <c r="N21" s="15">
        <f t="shared" si="16"/>
        <v>10</v>
      </c>
      <c r="O21" s="15">
        <f t="shared" si="16"/>
        <v>10</v>
      </c>
      <c r="P21" s="15">
        <f t="shared" si="16"/>
        <v>10</v>
      </c>
      <c r="Q21" s="15">
        <f t="shared" si="16"/>
        <v>10</v>
      </c>
      <c r="R21" s="15">
        <f t="shared" si="16"/>
        <v>10</v>
      </c>
      <c r="S21" s="15">
        <f t="shared" si="16"/>
        <v>10</v>
      </c>
      <c r="T21" s="15">
        <f t="shared" si="16"/>
        <v>10</v>
      </c>
      <c r="U21" s="15">
        <f t="shared" si="16"/>
        <v>10</v>
      </c>
      <c r="V21" s="15">
        <f t="shared" si="16"/>
        <v>10</v>
      </c>
      <c r="W21" s="15">
        <f t="shared" si="16"/>
        <v>10</v>
      </c>
      <c r="X21" s="15">
        <f t="shared" si="16"/>
        <v>10</v>
      </c>
      <c r="Y21" s="15">
        <f t="shared" si="16"/>
        <v>10</v>
      </c>
      <c r="Z21" s="15">
        <f t="shared" si="16"/>
        <v>10</v>
      </c>
      <c r="AA21" s="15">
        <f t="shared" si="16"/>
        <v>10</v>
      </c>
      <c r="AB21" s="15">
        <f t="shared" si="16"/>
        <v>10</v>
      </c>
      <c r="AC21" s="15">
        <f t="shared" si="16"/>
        <v>10</v>
      </c>
      <c r="AD21" s="15">
        <f t="shared" si="16"/>
        <v>10</v>
      </c>
      <c r="AE21" s="15">
        <f t="shared" si="16"/>
        <v>10</v>
      </c>
      <c r="AF21" s="15">
        <f t="shared" si="17"/>
        <v>10</v>
      </c>
      <c r="AG21" s="36">
        <v>10</v>
      </c>
      <c r="AH21" s="15">
        <f t="shared" si="18"/>
        <v>10.066666666666666</v>
      </c>
      <c r="AI21" s="15">
        <f t="shared" si="18"/>
        <v>10.133333333333333</v>
      </c>
      <c r="AJ21" s="15">
        <f t="shared" si="18"/>
        <v>10.199999999999999</v>
      </c>
      <c r="AK21" s="15">
        <f t="shared" si="18"/>
        <v>10.266666666666667</v>
      </c>
      <c r="AL21" s="15">
        <f t="shared" si="18"/>
        <v>10.333333333333334</v>
      </c>
      <c r="AM21" s="15">
        <f t="shared" si="18"/>
        <v>10.4</v>
      </c>
      <c r="AN21" s="15">
        <f t="shared" si="18"/>
        <v>10.466666666666667</v>
      </c>
      <c r="AO21" s="15">
        <f t="shared" si="18"/>
        <v>10.533333333333333</v>
      </c>
      <c r="AP21" s="15">
        <f t="shared" si="18"/>
        <v>10.6</v>
      </c>
      <c r="AQ21" s="15">
        <f t="shared" si="18"/>
        <v>10.666666666666666</v>
      </c>
      <c r="AR21" s="15">
        <f t="shared" si="18"/>
        <v>10.733333333333333</v>
      </c>
      <c r="AS21" s="15">
        <f t="shared" si="18"/>
        <v>10.8</v>
      </c>
      <c r="AT21" s="15">
        <f t="shared" si="18"/>
        <v>10.866666666666667</v>
      </c>
      <c r="AU21" s="15">
        <f t="shared" si="18"/>
        <v>10.933333333333334</v>
      </c>
      <c r="AV21" s="15">
        <f t="shared" si="18"/>
        <v>11</v>
      </c>
      <c r="AW21" s="15">
        <f t="shared" si="18"/>
        <v>11.066666666666666</v>
      </c>
      <c r="AX21" s="15">
        <f t="shared" si="18"/>
        <v>11.133333333333333</v>
      </c>
      <c r="AY21" s="15">
        <f t="shared" si="18"/>
        <v>11.2</v>
      </c>
      <c r="AZ21" s="15">
        <f t="shared" si="18"/>
        <v>11.266666666666666</v>
      </c>
      <c r="BA21" s="15">
        <f t="shared" si="18"/>
        <v>11.333333333333334</v>
      </c>
      <c r="BB21" s="15">
        <f t="shared" si="18"/>
        <v>11.4</v>
      </c>
      <c r="BC21" s="15">
        <f t="shared" si="18"/>
        <v>11.466666666666667</v>
      </c>
      <c r="BD21" s="15">
        <f t="shared" si="18"/>
        <v>11.533333333333333</v>
      </c>
      <c r="BE21" s="15">
        <f t="shared" si="18"/>
        <v>11.6</v>
      </c>
      <c r="BF21" s="15">
        <f t="shared" si="18"/>
        <v>11.666666666666666</v>
      </c>
      <c r="BG21" s="15">
        <f t="shared" si="18"/>
        <v>11.733333333333334</v>
      </c>
      <c r="BH21" s="15">
        <f t="shared" si="18"/>
        <v>11.8</v>
      </c>
      <c r="BI21" s="15">
        <f t="shared" si="18"/>
        <v>11.866666666666667</v>
      </c>
      <c r="BJ21" s="15">
        <f>$AG21+($BK21-$AG21)/($BK$15-$AG$15)*(BJ$15-$AG$15)</f>
        <v>11.933333333333334</v>
      </c>
      <c r="BK21" s="36">
        <f>AG21*1.2</f>
        <v>12</v>
      </c>
    </row>
    <row r="22" spans="2:63" ht="15" customHeight="1" x14ac:dyDescent="0.2">
      <c r="B22" s="4" t="s">
        <v>7</v>
      </c>
      <c r="C22" s="15">
        <f t="shared" si="16"/>
        <v>7</v>
      </c>
      <c r="D22" s="15">
        <f t="shared" si="16"/>
        <v>7</v>
      </c>
      <c r="E22" s="15">
        <f t="shared" si="16"/>
        <v>7</v>
      </c>
      <c r="F22" s="15">
        <f t="shared" si="16"/>
        <v>7</v>
      </c>
      <c r="G22" s="15">
        <f t="shared" si="16"/>
        <v>7</v>
      </c>
      <c r="H22" s="15">
        <f t="shared" si="16"/>
        <v>7</v>
      </c>
      <c r="I22" s="15">
        <f t="shared" si="16"/>
        <v>7</v>
      </c>
      <c r="J22" s="15">
        <f t="shared" si="16"/>
        <v>7</v>
      </c>
      <c r="K22" s="15">
        <f t="shared" si="16"/>
        <v>7</v>
      </c>
      <c r="L22" s="15">
        <f t="shared" si="16"/>
        <v>7</v>
      </c>
      <c r="M22" s="15">
        <f t="shared" si="16"/>
        <v>7</v>
      </c>
      <c r="N22" s="15">
        <f t="shared" si="16"/>
        <v>7</v>
      </c>
      <c r="O22" s="15">
        <f t="shared" si="16"/>
        <v>7</v>
      </c>
      <c r="P22" s="15">
        <f t="shared" si="16"/>
        <v>7</v>
      </c>
      <c r="Q22" s="15">
        <f t="shared" si="16"/>
        <v>7</v>
      </c>
      <c r="R22" s="15">
        <f t="shared" si="16"/>
        <v>7</v>
      </c>
      <c r="S22" s="15">
        <f t="shared" si="16"/>
        <v>7</v>
      </c>
      <c r="T22" s="15">
        <f t="shared" si="16"/>
        <v>7</v>
      </c>
      <c r="U22" s="15">
        <f t="shared" si="16"/>
        <v>7</v>
      </c>
      <c r="V22" s="15">
        <f t="shared" si="16"/>
        <v>7</v>
      </c>
      <c r="W22" s="15">
        <f t="shared" si="16"/>
        <v>7</v>
      </c>
      <c r="X22" s="15">
        <f t="shared" si="16"/>
        <v>7</v>
      </c>
      <c r="Y22" s="15">
        <f t="shared" si="16"/>
        <v>7</v>
      </c>
      <c r="Z22" s="15">
        <f t="shared" si="16"/>
        <v>7</v>
      </c>
      <c r="AA22" s="15">
        <f t="shared" si="16"/>
        <v>7</v>
      </c>
      <c r="AB22" s="15">
        <f t="shared" si="16"/>
        <v>7</v>
      </c>
      <c r="AC22" s="15">
        <f t="shared" si="16"/>
        <v>7</v>
      </c>
      <c r="AD22" s="15">
        <f t="shared" si="16"/>
        <v>7</v>
      </c>
      <c r="AE22" s="15">
        <f t="shared" si="16"/>
        <v>7</v>
      </c>
      <c r="AF22" s="15">
        <f>$AG22</f>
        <v>7</v>
      </c>
      <c r="AG22" s="36">
        <v>7</v>
      </c>
      <c r="AH22" s="15">
        <f>$AG22+($BK22-$AG22)/($BK$15-$AG$15)*(AH$15-$AG$15)</f>
        <v>6.9533333333333331</v>
      </c>
      <c r="AI22" s="15">
        <f t="shared" si="18"/>
        <v>6.9066666666666663</v>
      </c>
      <c r="AJ22" s="15">
        <f t="shared" si="18"/>
        <v>6.86</v>
      </c>
      <c r="AK22" s="15">
        <f t="shared" si="18"/>
        <v>6.8133333333333335</v>
      </c>
      <c r="AL22" s="15">
        <f t="shared" si="18"/>
        <v>6.7666666666666666</v>
      </c>
      <c r="AM22" s="15">
        <f t="shared" si="18"/>
        <v>6.72</v>
      </c>
      <c r="AN22" s="15">
        <f t="shared" si="18"/>
        <v>6.6733333333333338</v>
      </c>
      <c r="AO22" s="15">
        <f t="shared" si="18"/>
        <v>6.6266666666666669</v>
      </c>
      <c r="AP22" s="15">
        <f t="shared" si="18"/>
        <v>6.58</v>
      </c>
      <c r="AQ22" s="15">
        <f t="shared" si="18"/>
        <v>6.5333333333333332</v>
      </c>
      <c r="AR22" s="15">
        <f t="shared" si="18"/>
        <v>6.4866666666666672</v>
      </c>
      <c r="AS22" s="15">
        <f t="shared" si="18"/>
        <v>6.44</v>
      </c>
      <c r="AT22" s="15">
        <f t="shared" si="18"/>
        <v>6.3933333333333335</v>
      </c>
      <c r="AU22" s="15">
        <f t="shared" si="18"/>
        <v>6.3466666666666667</v>
      </c>
      <c r="AV22" s="15">
        <f t="shared" si="18"/>
        <v>6.3000000000000007</v>
      </c>
      <c r="AW22" s="15">
        <f t="shared" si="18"/>
        <v>6.2533333333333339</v>
      </c>
      <c r="AX22" s="15">
        <f t="shared" si="18"/>
        <v>6.206666666666667</v>
      </c>
      <c r="AY22" s="15">
        <f t="shared" si="18"/>
        <v>6.16</v>
      </c>
      <c r="AZ22" s="15">
        <f t="shared" si="18"/>
        <v>6.1133333333333333</v>
      </c>
      <c r="BA22" s="15">
        <f t="shared" si="18"/>
        <v>6.0666666666666673</v>
      </c>
      <c r="BB22" s="15">
        <f t="shared" si="18"/>
        <v>6.0200000000000005</v>
      </c>
      <c r="BC22" s="15">
        <f t="shared" si="18"/>
        <v>5.9733333333333336</v>
      </c>
      <c r="BD22" s="15">
        <f t="shared" si="18"/>
        <v>5.9266666666666676</v>
      </c>
      <c r="BE22" s="15">
        <f t="shared" si="18"/>
        <v>5.8800000000000008</v>
      </c>
      <c r="BF22" s="15">
        <f t="shared" si="18"/>
        <v>5.8333333333333339</v>
      </c>
      <c r="BG22" s="15">
        <f t="shared" si="18"/>
        <v>5.7866666666666671</v>
      </c>
      <c r="BH22" s="15">
        <f t="shared" si="18"/>
        <v>5.74</v>
      </c>
      <c r="BI22" s="15">
        <f t="shared" si="18"/>
        <v>5.6933333333333334</v>
      </c>
      <c r="BJ22" s="15">
        <f>$AG22+($BK22-$AG22)/($BK$15-$AG$15)*(BJ$15-$AG$15)</f>
        <v>5.6466666666666674</v>
      </c>
      <c r="BK22" s="36">
        <f>AG22*0.8</f>
        <v>5.6000000000000005</v>
      </c>
    </row>
    <row r="23" spans="2:63" ht="15" customHeight="1" x14ac:dyDescent="0.2">
      <c r="B23" s="4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</row>
    <row r="24" spans="2:63" ht="15" customHeight="1" x14ac:dyDescent="0.2">
      <c r="B24" s="10" t="s">
        <v>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</row>
    <row r="25" spans="2:63" ht="15" customHeight="1" x14ac:dyDescent="0.2">
      <c r="B25" s="4" t="s">
        <v>2</v>
      </c>
      <c r="C25" s="15">
        <f t="shared" ref="C25:AE25" si="19">$AG25/(1-(C$15-$AG$15)/100)</f>
        <v>1230.7692307692307</v>
      </c>
      <c r="D25" s="15">
        <f t="shared" si="19"/>
        <v>1240.3100775193798</v>
      </c>
      <c r="E25" s="15">
        <f t="shared" si="19"/>
        <v>1250</v>
      </c>
      <c r="F25" s="15">
        <f t="shared" si="19"/>
        <v>1259.8425196850394</v>
      </c>
      <c r="G25" s="15">
        <f t="shared" si="19"/>
        <v>1269.8412698412699</v>
      </c>
      <c r="H25" s="15">
        <f t="shared" si="19"/>
        <v>1280</v>
      </c>
      <c r="I25" s="15">
        <f t="shared" si="19"/>
        <v>1290.3225806451612</v>
      </c>
      <c r="J25" s="15">
        <f t="shared" si="19"/>
        <v>1300.8130081300812</v>
      </c>
      <c r="K25" s="15">
        <f t="shared" si="19"/>
        <v>1311.4754098360656</v>
      </c>
      <c r="L25" s="15">
        <f t="shared" si="19"/>
        <v>1322.3140495867769</v>
      </c>
      <c r="M25" s="15">
        <f t="shared" si="19"/>
        <v>1333.3333333333335</v>
      </c>
      <c r="N25" s="15">
        <f t="shared" si="19"/>
        <v>1344.5378151260504</v>
      </c>
      <c r="O25" s="15">
        <f t="shared" si="19"/>
        <v>1355.9322033898306</v>
      </c>
      <c r="P25" s="15">
        <f t="shared" si="19"/>
        <v>1367.5213675213677</v>
      </c>
      <c r="Q25" s="15">
        <f t="shared" si="19"/>
        <v>1379.3103448275863</v>
      </c>
      <c r="R25" s="15">
        <f t="shared" si="19"/>
        <v>1391.304347826087</v>
      </c>
      <c r="S25" s="15">
        <f t="shared" si="19"/>
        <v>1403.5087719298244</v>
      </c>
      <c r="T25" s="15">
        <f t="shared" si="19"/>
        <v>1415.9292035398232</v>
      </c>
      <c r="U25" s="15">
        <f t="shared" si="19"/>
        <v>1428.5714285714284</v>
      </c>
      <c r="V25" s="15">
        <f t="shared" si="19"/>
        <v>1441.4414414414414</v>
      </c>
      <c r="W25" s="15">
        <f t="shared" si="19"/>
        <v>1454.5454545454545</v>
      </c>
      <c r="X25" s="15">
        <f t="shared" si="19"/>
        <v>1467.8899082568805</v>
      </c>
      <c r="Y25" s="15">
        <f t="shared" si="19"/>
        <v>1481.4814814814813</v>
      </c>
      <c r="Z25" s="15">
        <f t="shared" si="19"/>
        <v>1495.3271028037382</v>
      </c>
      <c r="AA25" s="15">
        <f t="shared" si="19"/>
        <v>1509.433962264151</v>
      </c>
      <c r="AB25" s="15">
        <f t="shared" si="19"/>
        <v>1523.8095238095239</v>
      </c>
      <c r="AC25" s="15">
        <f t="shared" si="19"/>
        <v>1538.4615384615383</v>
      </c>
      <c r="AD25" s="15">
        <f t="shared" si="19"/>
        <v>1553.3980582524271</v>
      </c>
      <c r="AE25" s="15">
        <f t="shared" si="19"/>
        <v>1568.627450980392</v>
      </c>
      <c r="AF25" s="15">
        <f>$AG25/(1-(AF$15-$AG$15)/100)</f>
        <v>1584.1584158415842</v>
      </c>
      <c r="AG25" s="36">
        <v>1600</v>
      </c>
      <c r="AH25" s="15">
        <f>$AG25*(1+(AH$15-$AG$15)/100)</f>
        <v>1616</v>
      </c>
      <c r="AI25" s="15">
        <f t="shared" ref="AI25:BJ25" si="20">$AG25*(1+(AI$15-$AG$15)/100)</f>
        <v>1632</v>
      </c>
      <c r="AJ25" s="15">
        <f t="shared" si="20"/>
        <v>1648</v>
      </c>
      <c r="AK25" s="15">
        <f t="shared" si="20"/>
        <v>1664</v>
      </c>
      <c r="AL25" s="15">
        <f t="shared" si="20"/>
        <v>1680</v>
      </c>
      <c r="AM25" s="15">
        <f t="shared" si="20"/>
        <v>1696</v>
      </c>
      <c r="AN25" s="15">
        <f t="shared" si="20"/>
        <v>1712</v>
      </c>
      <c r="AO25" s="15">
        <f t="shared" si="20"/>
        <v>1728</v>
      </c>
      <c r="AP25" s="15">
        <f t="shared" si="20"/>
        <v>1744.0000000000002</v>
      </c>
      <c r="AQ25" s="15">
        <f t="shared" si="20"/>
        <v>1760.0000000000002</v>
      </c>
      <c r="AR25" s="15">
        <f t="shared" si="20"/>
        <v>1776.0000000000002</v>
      </c>
      <c r="AS25" s="15">
        <f t="shared" si="20"/>
        <v>1792.0000000000002</v>
      </c>
      <c r="AT25" s="15">
        <f t="shared" si="20"/>
        <v>1807.9999999999998</v>
      </c>
      <c r="AU25" s="15">
        <f t="shared" si="20"/>
        <v>1824.0000000000002</v>
      </c>
      <c r="AV25" s="15">
        <f t="shared" si="20"/>
        <v>1839.9999999999998</v>
      </c>
      <c r="AW25" s="15">
        <f t="shared" si="20"/>
        <v>1855.9999999999998</v>
      </c>
      <c r="AX25" s="15">
        <f t="shared" si="20"/>
        <v>1872</v>
      </c>
      <c r="AY25" s="15">
        <f t="shared" si="20"/>
        <v>1888</v>
      </c>
      <c r="AZ25" s="15">
        <f t="shared" si="20"/>
        <v>1904</v>
      </c>
      <c r="BA25" s="15">
        <f t="shared" si="20"/>
        <v>1920</v>
      </c>
      <c r="BB25" s="15">
        <f t="shared" si="20"/>
        <v>1936</v>
      </c>
      <c r="BC25" s="15">
        <f t="shared" si="20"/>
        <v>1952</v>
      </c>
      <c r="BD25" s="15">
        <f t="shared" si="20"/>
        <v>1968</v>
      </c>
      <c r="BE25" s="15">
        <f t="shared" si="20"/>
        <v>1984</v>
      </c>
      <c r="BF25" s="15">
        <f t="shared" si="20"/>
        <v>2000</v>
      </c>
      <c r="BG25" s="15">
        <f t="shared" si="20"/>
        <v>2016</v>
      </c>
      <c r="BH25" s="15">
        <f t="shared" si="20"/>
        <v>2032</v>
      </c>
      <c r="BI25" s="15">
        <f t="shared" si="20"/>
        <v>2048</v>
      </c>
      <c r="BJ25" s="15">
        <f t="shared" si="20"/>
        <v>2064</v>
      </c>
      <c r="BK25" s="15">
        <f>$AG25*(1+(BK$15-$AG$15)/100)</f>
        <v>2080</v>
      </c>
    </row>
    <row r="26" spans="2:63" ht="15" customHeight="1" x14ac:dyDescent="0.2">
      <c r="B26" s="4" t="s">
        <v>3</v>
      </c>
      <c r="C26" s="15">
        <f>$M26</f>
        <v>12</v>
      </c>
      <c r="D26" s="15">
        <f t="shared" ref="D26:K26" si="21">$M26</f>
        <v>12</v>
      </c>
      <c r="E26" s="15">
        <f t="shared" si="21"/>
        <v>12</v>
      </c>
      <c r="F26" s="15">
        <f t="shared" si="21"/>
        <v>12</v>
      </c>
      <c r="G26" s="15">
        <f t="shared" si="21"/>
        <v>12</v>
      </c>
      <c r="H26" s="15">
        <f t="shared" si="21"/>
        <v>12</v>
      </c>
      <c r="I26" s="15">
        <f t="shared" si="21"/>
        <v>12</v>
      </c>
      <c r="J26" s="15">
        <f t="shared" si="21"/>
        <v>12</v>
      </c>
      <c r="K26" s="15">
        <f t="shared" si="21"/>
        <v>12</v>
      </c>
      <c r="L26" s="15">
        <f>$M26</f>
        <v>12</v>
      </c>
      <c r="M26" s="36">
        <v>12</v>
      </c>
      <c r="N26" s="15">
        <f>$M26+($AG26-$M26)/($AG$15-$M$15)*(N$15-$M$15)</f>
        <v>12.05</v>
      </c>
      <c r="O26" s="15">
        <f t="shared" ref="O26:AF26" si="22">$M26+($AG26-$M26)/($AG$15-$M$15)*(O$15-$M$15)</f>
        <v>12.1</v>
      </c>
      <c r="P26" s="15">
        <f t="shared" si="22"/>
        <v>12.15</v>
      </c>
      <c r="Q26" s="15">
        <f t="shared" si="22"/>
        <v>12.2</v>
      </c>
      <c r="R26" s="15">
        <f t="shared" si="22"/>
        <v>12.25</v>
      </c>
      <c r="S26" s="15">
        <f t="shared" si="22"/>
        <v>12.3</v>
      </c>
      <c r="T26" s="15">
        <f t="shared" si="22"/>
        <v>12.35</v>
      </c>
      <c r="U26" s="15">
        <f t="shared" si="22"/>
        <v>12.4</v>
      </c>
      <c r="V26" s="15">
        <f t="shared" si="22"/>
        <v>12.45</v>
      </c>
      <c r="W26" s="15">
        <f t="shared" si="22"/>
        <v>12.5</v>
      </c>
      <c r="X26" s="15">
        <f t="shared" si="22"/>
        <v>12.55</v>
      </c>
      <c r="Y26" s="15">
        <f t="shared" si="22"/>
        <v>12.6</v>
      </c>
      <c r="Z26" s="15">
        <f t="shared" si="22"/>
        <v>12.65</v>
      </c>
      <c r="AA26" s="15">
        <f t="shared" si="22"/>
        <v>12.7</v>
      </c>
      <c r="AB26" s="15">
        <f t="shared" si="22"/>
        <v>12.75</v>
      </c>
      <c r="AC26" s="15">
        <f t="shared" si="22"/>
        <v>12.8</v>
      </c>
      <c r="AD26" s="15">
        <f t="shared" si="22"/>
        <v>12.85</v>
      </c>
      <c r="AE26" s="15">
        <f t="shared" si="22"/>
        <v>12.9</v>
      </c>
      <c r="AF26" s="15">
        <f t="shared" si="22"/>
        <v>12.95</v>
      </c>
      <c r="AG26" s="36">
        <v>13</v>
      </c>
      <c r="AH26" s="15">
        <f>$AG26</f>
        <v>13</v>
      </c>
      <c r="AI26" s="15">
        <f t="shared" ref="AI26:BK26" si="23">$AG26</f>
        <v>13</v>
      </c>
      <c r="AJ26" s="15">
        <f t="shared" si="23"/>
        <v>13</v>
      </c>
      <c r="AK26" s="15">
        <f t="shared" si="23"/>
        <v>13</v>
      </c>
      <c r="AL26" s="15">
        <f t="shared" si="23"/>
        <v>13</v>
      </c>
      <c r="AM26" s="15">
        <f t="shared" si="23"/>
        <v>13</v>
      </c>
      <c r="AN26" s="15">
        <f t="shared" si="23"/>
        <v>13</v>
      </c>
      <c r="AO26" s="15">
        <f t="shared" si="23"/>
        <v>13</v>
      </c>
      <c r="AP26" s="15">
        <f t="shared" si="23"/>
        <v>13</v>
      </c>
      <c r="AQ26" s="15">
        <f t="shared" si="23"/>
        <v>13</v>
      </c>
      <c r="AR26" s="15">
        <f t="shared" si="23"/>
        <v>13</v>
      </c>
      <c r="AS26" s="15">
        <f t="shared" si="23"/>
        <v>13</v>
      </c>
      <c r="AT26" s="15">
        <f t="shared" si="23"/>
        <v>13</v>
      </c>
      <c r="AU26" s="15">
        <f t="shared" si="23"/>
        <v>13</v>
      </c>
      <c r="AV26" s="15">
        <f t="shared" si="23"/>
        <v>13</v>
      </c>
      <c r="AW26" s="15">
        <f t="shared" si="23"/>
        <v>13</v>
      </c>
      <c r="AX26" s="15">
        <f t="shared" si="23"/>
        <v>13</v>
      </c>
      <c r="AY26" s="15">
        <f t="shared" si="23"/>
        <v>13</v>
      </c>
      <c r="AZ26" s="15">
        <f t="shared" si="23"/>
        <v>13</v>
      </c>
      <c r="BA26" s="15">
        <f t="shared" si="23"/>
        <v>13</v>
      </c>
      <c r="BB26" s="15">
        <f t="shared" si="23"/>
        <v>13</v>
      </c>
      <c r="BC26" s="15">
        <f t="shared" si="23"/>
        <v>13</v>
      </c>
      <c r="BD26" s="15">
        <f t="shared" si="23"/>
        <v>13</v>
      </c>
      <c r="BE26" s="15">
        <f t="shared" si="23"/>
        <v>13</v>
      </c>
      <c r="BF26" s="15">
        <f t="shared" si="23"/>
        <v>13</v>
      </c>
      <c r="BG26" s="15">
        <f t="shared" si="23"/>
        <v>13</v>
      </c>
      <c r="BH26" s="15">
        <f t="shared" si="23"/>
        <v>13</v>
      </c>
      <c r="BI26" s="15">
        <f t="shared" si="23"/>
        <v>13</v>
      </c>
      <c r="BJ26" s="15">
        <f t="shared" si="23"/>
        <v>13</v>
      </c>
      <c r="BK26" s="15">
        <f t="shared" si="23"/>
        <v>13</v>
      </c>
    </row>
    <row r="27" spans="2:63" ht="15" customHeight="1" x14ac:dyDescent="0.2">
      <c r="B27" s="4" t="s">
        <v>4</v>
      </c>
      <c r="C27" s="15">
        <f t="shared" ref="C27:AE30" si="24">$AG27</f>
        <v>40</v>
      </c>
      <c r="D27" s="15">
        <f t="shared" si="24"/>
        <v>40</v>
      </c>
      <c r="E27" s="15">
        <f t="shared" si="24"/>
        <v>40</v>
      </c>
      <c r="F27" s="15">
        <f t="shared" si="24"/>
        <v>40</v>
      </c>
      <c r="G27" s="15">
        <f t="shared" si="24"/>
        <v>40</v>
      </c>
      <c r="H27" s="15">
        <f t="shared" si="24"/>
        <v>40</v>
      </c>
      <c r="I27" s="15">
        <f t="shared" si="24"/>
        <v>40</v>
      </c>
      <c r="J27" s="15">
        <f t="shared" si="24"/>
        <v>40</v>
      </c>
      <c r="K27" s="15">
        <f t="shared" si="24"/>
        <v>40</v>
      </c>
      <c r="L27" s="15">
        <f t="shared" si="24"/>
        <v>40</v>
      </c>
      <c r="M27" s="15">
        <f t="shared" si="24"/>
        <v>40</v>
      </c>
      <c r="N27" s="15">
        <f t="shared" si="24"/>
        <v>40</v>
      </c>
      <c r="O27" s="15">
        <f t="shared" si="24"/>
        <v>40</v>
      </c>
      <c r="P27" s="15">
        <f t="shared" si="24"/>
        <v>40</v>
      </c>
      <c r="Q27" s="15">
        <f t="shared" si="24"/>
        <v>40</v>
      </c>
      <c r="R27" s="15">
        <f t="shared" si="24"/>
        <v>40</v>
      </c>
      <c r="S27" s="15">
        <f t="shared" si="24"/>
        <v>40</v>
      </c>
      <c r="T27" s="15">
        <f t="shared" si="24"/>
        <v>40</v>
      </c>
      <c r="U27" s="15">
        <f t="shared" si="24"/>
        <v>40</v>
      </c>
      <c r="V27" s="15">
        <f t="shared" si="24"/>
        <v>40</v>
      </c>
      <c r="W27" s="15">
        <f t="shared" si="24"/>
        <v>40</v>
      </c>
      <c r="X27" s="15">
        <f t="shared" si="24"/>
        <v>40</v>
      </c>
      <c r="Y27" s="15">
        <f t="shared" si="24"/>
        <v>40</v>
      </c>
      <c r="Z27" s="15">
        <f t="shared" si="24"/>
        <v>40</v>
      </c>
      <c r="AA27" s="15">
        <f t="shared" si="24"/>
        <v>40</v>
      </c>
      <c r="AB27" s="15">
        <f t="shared" si="24"/>
        <v>40</v>
      </c>
      <c r="AC27" s="15">
        <f t="shared" si="24"/>
        <v>40</v>
      </c>
      <c r="AD27" s="15">
        <f t="shared" si="24"/>
        <v>40</v>
      </c>
      <c r="AE27" s="15">
        <f t="shared" si="24"/>
        <v>40</v>
      </c>
      <c r="AF27" s="15">
        <f t="shared" ref="AF27:AF30" si="25">$AG27</f>
        <v>40</v>
      </c>
      <c r="AG27" s="36">
        <v>40</v>
      </c>
      <c r="AH27" s="15">
        <f t="shared" ref="AH27:BI30" si="26">$AG27+($BK27-$AG27)/($BK$15-$AG$15)*(AH$15-$AG$15)</f>
        <v>40.533333333333331</v>
      </c>
      <c r="AI27" s="15">
        <f t="shared" si="26"/>
        <v>41.06666666666667</v>
      </c>
      <c r="AJ27" s="15">
        <f t="shared" si="26"/>
        <v>41.6</v>
      </c>
      <c r="AK27" s="15">
        <f t="shared" si="26"/>
        <v>42.133333333333333</v>
      </c>
      <c r="AL27" s="15">
        <f t="shared" si="26"/>
        <v>42.666666666666664</v>
      </c>
      <c r="AM27" s="15">
        <f t="shared" si="26"/>
        <v>43.2</v>
      </c>
      <c r="AN27" s="15">
        <f t="shared" si="26"/>
        <v>43.733333333333334</v>
      </c>
      <c r="AO27" s="15">
        <f t="shared" si="26"/>
        <v>44.266666666666666</v>
      </c>
      <c r="AP27" s="15">
        <f t="shared" si="26"/>
        <v>44.8</v>
      </c>
      <c r="AQ27" s="15">
        <f t="shared" si="26"/>
        <v>45.333333333333336</v>
      </c>
      <c r="AR27" s="15">
        <f t="shared" si="26"/>
        <v>45.866666666666667</v>
      </c>
      <c r="AS27" s="15">
        <f t="shared" si="26"/>
        <v>46.4</v>
      </c>
      <c r="AT27" s="15">
        <f t="shared" si="26"/>
        <v>46.933333333333337</v>
      </c>
      <c r="AU27" s="15">
        <f t="shared" si="26"/>
        <v>47.466666666666669</v>
      </c>
      <c r="AV27" s="15">
        <f t="shared" si="26"/>
        <v>48</v>
      </c>
      <c r="AW27" s="15">
        <f t="shared" si="26"/>
        <v>48.533333333333331</v>
      </c>
      <c r="AX27" s="15">
        <f t="shared" si="26"/>
        <v>49.066666666666663</v>
      </c>
      <c r="AY27" s="15">
        <f t="shared" si="26"/>
        <v>49.6</v>
      </c>
      <c r="AZ27" s="15">
        <f t="shared" si="26"/>
        <v>50.133333333333333</v>
      </c>
      <c r="BA27" s="15">
        <f t="shared" si="26"/>
        <v>50.666666666666664</v>
      </c>
      <c r="BB27" s="15">
        <f t="shared" si="26"/>
        <v>51.2</v>
      </c>
      <c r="BC27" s="15">
        <f t="shared" si="26"/>
        <v>51.733333333333334</v>
      </c>
      <c r="BD27" s="15">
        <f t="shared" si="26"/>
        <v>52.266666666666666</v>
      </c>
      <c r="BE27" s="15">
        <f t="shared" si="26"/>
        <v>52.8</v>
      </c>
      <c r="BF27" s="15">
        <f t="shared" si="26"/>
        <v>53.333333333333336</v>
      </c>
      <c r="BG27" s="15">
        <f t="shared" si="26"/>
        <v>53.866666666666667</v>
      </c>
      <c r="BH27" s="15">
        <f t="shared" si="26"/>
        <v>54.4</v>
      </c>
      <c r="BI27" s="15">
        <f t="shared" si="26"/>
        <v>54.933333333333337</v>
      </c>
      <c r="BJ27" s="15">
        <f>$AG27+($BK27-$AG27)/($BK$15-$AG$15)*(BJ$15-$AG$15)</f>
        <v>55.466666666666669</v>
      </c>
      <c r="BK27" s="36">
        <f>AG27*1.4</f>
        <v>56</v>
      </c>
    </row>
    <row r="28" spans="2:63" ht="15" customHeight="1" x14ac:dyDescent="0.2">
      <c r="B28" s="4" t="s">
        <v>5</v>
      </c>
      <c r="C28" s="15">
        <f t="shared" si="24"/>
        <v>8</v>
      </c>
      <c r="D28" s="15">
        <f t="shared" si="24"/>
        <v>8</v>
      </c>
      <c r="E28" s="15">
        <f t="shared" si="24"/>
        <v>8</v>
      </c>
      <c r="F28" s="15">
        <f t="shared" si="24"/>
        <v>8</v>
      </c>
      <c r="G28" s="15">
        <f t="shared" si="24"/>
        <v>8</v>
      </c>
      <c r="H28" s="15">
        <f t="shared" si="24"/>
        <v>8</v>
      </c>
      <c r="I28" s="15">
        <f t="shared" si="24"/>
        <v>8</v>
      </c>
      <c r="J28" s="15">
        <f t="shared" si="24"/>
        <v>8</v>
      </c>
      <c r="K28" s="15">
        <f t="shared" si="24"/>
        <v>8</v>
      </c>
      <c r="L28" s="15">
        <f t="shared" si="24"/>
        <v>8</v>
      </c>
      <c r="M28" s="15">
        <f t="shared" si="24"/>
        <v>8</v>
      </c>
      <c r="N28" s="15">
        <f t="shared" si="24"/>
        <v>8</v>
      </c>
      <c r="O28" s="15">
        <f t="shared" si="24"/>
        <v>8</v>
      </c>
      <c r="P28" s="15">
        <f t="shared" si="24"/>
        <v>8</v>
      </c>
      <c r="Q28" s="15">
        <f t="shared" si="24"/>
        <v>8</v>
      </c>
      <c r="R28" s="15">
        <f t="shared" si="24"/>
        <v>8</v>
      </c>
      <c r="S28" s="15">
        <f t="shared" si="24"/>
        <v>8</v>
      </c>
      <c r="T28" s="15">
        <f t="shared" si="24"/>
        <v>8</v>
      </c>
      <c r="U28" s="15">
        <f t="shared" si="24"/>
        <v>8</v>
      </c>
      <c r="V28" s="15">
        <f t="shared" si="24"/>
        <v>8</v>
      </c>
      <c r="W28" s="15">
        <f t="shared" si="24"/>
        <v>8</v>
      </c>
      <c r="X28" s="15">
        <f t="shared" si="24"/>
        <v>8</v>
      </c>
      <c r="Y28" s="15">
        <f t="shared" si="24"/>
        <v>8</v>
      </c>
      <c r="Z28" s="15">
        <f t="shared" si="24"/>
        <v>8</v>
      </c>
      <c r="AA28" s="15">
        <f t="shared" si="24"/>
        <v>8</v>
      </c>
      <c r="AB28" s="15">
        <f t="shared" si="24"/>
        <v>8</v>
      </c>
      <c r="AC28" s="15">
        <f t="shared" si="24"/>
        <v>8</v>
      </c>
      <c r="AD28" s="15">
        <f t="shared" si="24"/>
        <v>8</v>
      </c>
      <c r="AE28" s="15">
        <f t="shared" si="24"/>
        <v>8</v>
      </c>
      <c r="AF28" s="15">
        <f t="shared" si="25"/>
        <v>8</v>
      </c>
      <c r="AG28" s="36">
        <v>8</v>
      </c>
      <c r="AH28" s="15">
        <f t="shared" si="26"/>
        <v>7.9466666666666663</v>
      </c>
      <c r="AI28" s="15">
        <f t="shared" si="26"/>
        <v>7.8933333333333335</v>
      </c>
      <c r="AJ28" s="15">
        <f t="shared" si="26"/>
        <v>7.84</v>
      </c>
      <c r="AK28" s="15">
        <f t="shared" si="26"/>
        <v>7.7866666666666671</v>
      </c>
      <c r="AL28" s="15">
        <f t="shared" si="26"/>
        <v>7.7333333333333334</v>
      </c>
      <c r="AM28" s="15">
        <f t="shared" si="26"/>
        <v>7.68</v>
      </c>
      <c r="AN28" s="15">
        <f t="shared" si="26"/>
        <v>7.6266666666666669</v>
      </c>
      <c r="AO28" s="15">
        <f t="shared" si="26"/>
        <v>7.5733333333333333</v>
      </c>
      <c r="AP28" s="15">
        <f t="shared" si="26"/>
        <v>7.5200000000000005</v>
      </c>
      <c r="AQ28" s="15">
        <f t="shared" si="26"/>
        <v>7.4666666666666668</v>
      </c>
      <c r="AR28" s="15">
        <f t="shared" si="26"/>
        <v>7.4133333333333331</v>
      </c>
      <c r="AS28" s="15">
        <f t="shared" si="26"/>
        <v>7.36</v>
      </c>
      <c r="AT28" s="15">
        <f t="shared" si="26"/>
        <v>7.3066666666666666</v>
      </c>
      <c r="AU28" s="15">
        <f t="shared" si="26"/>
        <v>7.2533333333333339</v>
      </c>
      <c r="AV28" s="15">
        <f t="shared" si="26"/>
        <v>7.2</v>
      </c>
      <c r="AW28" s="15">
        <f t="shared" si="26"/>
        <v>7.1466666666666665</v>
      </c>
      <c r="AX28" s="15">
        <f t="shared" si="26"/>
        <v>7.0933333333333337</v>
      </c>
      <c r="AY28" s="15">
        <f t="shared" si="26"/>
        <v>7.04</v>
      </c>
      <c r="AZ28" s="15">
        <f t="shared" si="26"/>
        <v>6.9866666666666664</v>
      </c>
      <c r="BA28" s="15">
        <f t="shared" si="26"/>
        <v>6.9333333333333336</v>
      </c>
      <c r="BB28" s="15">
        <f t="shared" si="26"/>
        <v>6.88</v>
      </c>
      <c r="BC28" s="15">
        <f t="shared" si="26"/>
        <v>6.8266666666666671</v>
      </c>
      <c r="BD28" s="15">
        <f t="shared" si="26"/>
        <v>6.7733333333333334</v>
      </c>
      <c r="BE28" s="15">
        <f t="shared" si="26"/>
        <v>6.7200000000000006</v>
      </c>
      <c r="BF28" s="15">
        <f t="shared" si="26"/>
        <v>6.666666666666667</v>
      </c>
      <c r="BG28" s="15">
        <f t="shared" si="26"/>
        <v>6.6133333333333333</v>
      </c>
      <c r="BH28" s="15">
        <f t="shared" si="26"/>
        <v>6.5600000000000005</v>
      </c>
      <c r="BI28" s="15">
        <f t="shared" si="26"/>
        <v>6.5066666666666668</v>
      </c>
      <c r="BJ28" s="15">
        <f t="shared" ref="BJ28:BJ29" si="27">$AG28+($BK28-$AG28)/($BK$15-$AG$15)*(BJ$15-$AG$15)</f>
        <v>6.4533333333333331</v>
      </c>
      <c r="BK28" s="36">
        <f>AG28*0.8</f>
        <v>6.4</v>
      </c>
    </row>
    <row r="29" spans="2:63" ht="15" customHeight="1" x14ac:dyDescent="0.2">
      <c r="B29" s="4" t="s">
        <v>6</v>
      </c>
      <c r="C29" s="15">
        <f t="shared" si="24"/>
        <v>6</v>
      </c>
      <c r="D29" s="15">
        <f t="shared" si="24"/>
        <v>6</v>
      </c>
      <c r="E29" s="15">
        <f t="shared" si="24"/>
        <v>6</v>
      </c>
      <c r="F29" s="15">
        <f t="shared" si="24"/>
        <v>6</v>
      </c>
      <c r="G29" s="15">
        <f t="shared" si="24"/>
        <v>6</v>
      </c>
      <c r="H29" s="15">
        <f t="shared" si="24"/>
        <v>6</v>
      </c>
      <c r="I29" s="15">
        <f t="shared" si="24"/>
        <v>6</v>
      </c>
      <c r="J29" s="15">
        <f t="shared" si="24"/>
        <v>6</v>
      </c>
      <c r="K29" s="15">
        <f t="shared" si="24"/>
        <v>6</v>
      </c>
      <c r="L29" s="15">
        <f t="shared" si="24"/>
        <v>6</v>
      </c>
      <c r="M29" s="15">
        <f t="shared" si="24"/>
        <v>6</v>
      </c>
      <c r="N29" s="15">
        <f t="shared" si="24"/>
        <v>6</v>
      </c>
      <c r="O29" s="15">
        <f t="shared" si="24"/>
        <v>6</v>
      </c>
      <c r="P29" s="15">
        <f t="shared" si="24"/>
        <v>6</v>
      </c>
      <c r="Q29" s="15">
        <f t="shared" si="24"/>
        <v>6</v>
      </c>
      <c r="R29" s="15">
        <f t="shared" si="24"/>
        <v>6</v>
      </c>
      <c r="S29" s="15">
        <f t="shared" si="24"/>
        <v>6</v>
      </c>
      <c r="T29" s="15">
        <f t="shared" si="24"/>
        <v>6</v>
      </c>
      <c r="U29" s="15">
        <f t="shared" si="24"/>
        <v>6</v>
      </c>
      <c r="V29" s="15">
        <f t="shared" si="24"/>
        <v>6</v>
      </c>
      <c r="W29" s="15">
        <f t="shared" si="24"/>
        <v>6</v>
      </c>
      <c r="X29" s="15">
        <f t="shared" si="24"/>
        <v>6</v>
      </c>
      <c r="Y29" s="15">
        <f t="shared" si="24"/>
        <v>6</v>
      </c>
      <c r="Z29" s="15">
        <f t="shared" si="24"/>
        <v>6</v>
      </c>
      <c r="AA29" s="15">
        <f t="shared" si="24"/>
        <v>6</v>
      </c>
      <c r="AB29" s="15">
        <f t="shared" si="24"/>
        <v>6</v>
      </c>
      <c r="AC29" s="15">
        <f t="shared" si="24"/>
        <v>6</v>
      </c>
      <c r="AD29" s="15">
        <f t="shared" si="24"/>
        <v>6</v>
      </c>
      <c r="AE29" s="15">
        <f t="shared" si="24"/>
        <v>6</v>
      </c>
      <c r="AF29" s="15">
        <f t="shared" si="25"/>
        <v>6</v>
      </c>
      <c r="AG29" s="36">
        <v>6</v>
      </c>
      <c r="AH29" s="15">
        <f t="shared" si="26"/>
        <v>6.04</v>
      </c>
      <c r="AI29" s="15">
        <f t="shared" si="26"/>
        <v>6.08</v>
      </c>
      <c r="AJ29" s="15">
        <f t="shared" si="26"/>
        <v>6.12</v>
      </c>
      <c r="AK29" s="15">
        <f t="shared" si="26"/>
        <v>6.16</v>
      </c>
      <c r="AL29" s="15">
        <f t="shared" si="26"/>
        <v>6.2</v>
      </c>
      <c r="AM29" s="15">
        <f t="shared" si="26"/>
        <v>6.24</v>
      </c>
      <c r="AN29" s="15">
        <f t="shared" si="26"/>
        <v>6.2799999999999994</v>
      </c>
      <c r="AO29" s="15">
        <f t="shared" si="26"/>
        <v>6.3199999999999994</v>
      </c>
      <c r="AP29" s="15">
        <f t="shared" si="26"/>
        <v>6.3599999999999994</v>
      </c>
      <c r="AQ29" s="15">
        <f t="shared" si="26"/>
        <v>6.3999999999999995</v>
      </c>
      <c r="AR29" s="15">
        <f t="shared" si="26"/>
        <v>6.4399999999999995</v>
      </c>
      <c r="AS29" s="15">
        <f t="shared" si="26"/>
        <v>6.4799999999999995</v>
      </c>
      <c r="AT29" s="15">
        <f t="shared" si="26"/>
        <v>6.52</v>
      </c>
      <c r="AU29" s="15">
        <f t="shared" si="26"/>
        <v>6.56</v>
      </c>
      <c r="AV29" s="15">
        <f t="shared" si="26"/>
        <v>6.6</v>
      </c>
      <c r="AW29" s="15">
        <f t="shared" si="26"/>
        <v>6.64</v>
      </c>
      <c r="AX29" s="15">
        <f t="shared" si="26"/>
        <v>6.68</v>
      </c>
      <c r="AY29" s="15">
        <f t="shared" si="26"/>
        <v>6.72</v>
      </c>
      <c r="AZ29" s="15">
        <f t="shared" si="26"/>
        <v>6.76</v>
      </c>
      <c r="BA29" s="15">
        <f t="shared" si="26"/>
        <v>6.8</v>
      </c>
      <c r="BB29" s="15">
        <f t="shared" si="26"/>
        <v>6.84</v>
      </c>
      <c r="BC29" s="15">
        <f t="shared" si="26"/>
        <v>6.879999999999999</v>
      </c>
      <c r="BD29" s="15">
        <f t="shared" si="26"/>
        <v>6.919999999999999</v>
      </c>
      <c r="BE29" s="15">
        <f t="shared" si="26"/>
        <v>6.9599999999999991</v>
      </c>
      <c r="BF29" s="15">
        <f t="shared" si="26"/>
        <v>6.9999999999999991</v>
      </c>
      <c r="BG29" s="15">
        <f t="shared" si="26"/>
        <v>7.0399999999999991</v>
      </c>
      <c r="BH29" s="15">
        <f t="shared" si="26"/>
        <v>7.0799999999999992</v>
      </c>
      <c r="BI29" s="15">
        <f t="shared" si="26"/>
        <v>7.1199999999999992</v>
      </c>
      <c r="BJ29" s="15">
        <f t="shared" si="27"/>
        <v>7.1599999999999993</v>
      </c>
      <c r="BK29" s="36">
        <f>AG29*1.2</f>
        <v>7.1999999999999993</v>
      </c>
    </row>
    <row r="30" spans="2:63" ht="15" customHeight="1" x14ac:dyDescent="0.2">
      <c r="B30" s="4" t="s">
        <v>7</v>
      </c>
      <c r="C30" s="15">
        <f t="shared" si="24"/>
        <v>5</v>
      </c>
      <c r="D30" s="15">
        <f t="shared" si="24"/>
        <v>5</v>
      </c>
      <c r="E30" s="15">
        <f t="shared" si="24"/>
        <v>5</v>
      </c>
      <c r="F30" s="15">
        <f t="shared" si="24"/>
        <v>5</v>
      </c>
      <c r="G30" s="15">
        <f t="shared" si="24"/>
        <v>5</v>
      </c>
      <c r="H30" s="15">
        <f t="shared" si="24"/>
        <v>5</v>
      </c>
      <c r="I30" s="15">
        <f t="shared" si="24"/>
        <v>5</v>
      </c>
      <c r="J30" s="15">
        <f t="shared" si="24"/>
        <v>5</v>
      </c>
      <c r="K30" s="15">
        <f t="shared" si="24"/>
        <v>5</v>
      </c>
      <c r="L30" s="15">
        <f t="shared" si="24"/>
        <v>5</v>
      </c>
      <c r="M30" s="15">
        <f t="shared" si="24"/>
        <v>5</v>
      </c>
      <c r="N30" s="15">
        <f t="shared" si="24"/>
        <v>5</v>
      </c>
      <c r="O30" s="15">
        <f t="shared" si="24"/>
        <v>5</v>
      </c>
      <c r="P30" s="15">
        <f t="shared" si="24"/>
        <v>5</v>
      </c>
      <c r="Q30" s="15">
        <f t="shared" si="24"/>
        <v>5</v>
      </c>
      <c r="R30" s="15">
        <f t="shared" si="24"/>
        <v>5</v>
      </c>
      <c r="S30" s="15">
        <f t="shared" si="24"/>
        <v>5</v>
      </c>
      <c r="T30" s="15">
        <f t="shared" si="24"/>
        <v>5</v>
      </c>
      <c r="U30" s="15">
        <f t="shared" si="24"/>
        <v>5</v>
      </c>
      <c r="V30" s="15">
        <f t="shared" si="24"/>
        <v>5</v>
      </c>
      <c r="W30" s="15">
        <f t="shared" si="24"/>
        <v>5</v>
      </c>
      <c r="X30" s="15">
        <f t="shared" si="24"/>
        <v>5</v>
      </c>
      <c r="Y30" s="15">
        <f t="shared" si="24"/>
        <v>5</v>
      </c>
      <c r="Z30" s="15">
        <f t="shared" si="24"/>
        <v>5</v>
      </c>
      <c r="AA30" s="15">
        <f t="shared" si="24"/>
        <v>5</v>
      </c>
      <c r="AB30" s="15">
        <f t="shared" si="24"/>
        <v>5</v>
      </c>
      <c r="AC30" s="15">
        <f t="shared" si="24"/>
        <v>5</v>
      </c>
      <c r="AD30" s="15">
        <f t="shared" si="24"/>
        <v>5</v>
      </c>
      <c r="AE30" s="15">
        <f t="shared" si="24"/>
        <v>5</v>
      </c>
      <c r="AF30" s="15">
        <f t="shared" si="25"/>
        <v>5</v>
      </c>
      <c r="AG30" s="36">
        <v>5</v>
      </c>
      <c r="AH30" s="15">
        <f t="shared" si="26"/>
        <v>4.9666666666666668</v>
      </c>
      <c r="AI30" s="15">
        <f t="shared" si="26"/>
        <v>4.9333333333333336</v>
      </c>
      <c r="AJ30" s="15">
        <f t="shared" si="26"/>
        <v>4.9000000000000004</v>
      </c>
      <c r="AK30" s="15">
        <f t="shared" si="26"/>
        <v>4.8666666666666663</v>
      </c>
      <c r="AL30" s="15">
        <f t="shared" si="26"/>
        <v>4.833333333333333</v>
      </c>
      <c r="AM30" s="15">
        <f t="shared" si="26"/>
        <v>4.8</v>
      </c>
      <c r="AN30" s="15">
        <f t="shared" si="26"/>
        <v>4.7666666666666666</v>
      </c>
      <c r="AO30" s="15">
        <f t="shared" si="26"/>
        <v>4.7333333333333334</v>
      </c>
      <c r="AP30" s="15">
        <f t="shared" si="26"/>
        <v>4.7</v>
      </c>
      <c r="AQ30" s="15">
        <f t="shared" si="26"/>
        <v>4.666666666666667</v>
      </c>
      <c r="AR30" s="15">
        <f t="shared" si="26"/>
        <v>4.6333333333333337</v>
      </c>
      <c r="AS30" s="15">
        <f t="shared" si="26"/>
        <v>4.5999999999999996</v>
      </c>
      <c r="AT30" s="15">
        <f t="shared" si="26"/>
        <v>4.5666666666666664</v>
      </c>
      <c r="AU30" s="15">
        <f t="shared" si="26"/>
        <v>4.5333333333333332</v>
      </c>
      <c r="AV30" s="15">
        <f t="shared" si="26"/>
        <v>4.5</v>
      </c>
      <c r="AW30" s="15">
        <f t="shared" si="26"/>
        <v>4.4666666666666668</v>
      </c>
      <c r="AX30" s="15">
        <f t="shared" si="26"/>
        <v>4.4333333333333336</v>
      </c>
      <c r="AY30" s="15">
        <f t="shared" si="26"/>
        <v>4.4000000000000004</v>
      </c>
      <c r="AZ30" s="15">
        <f t="shared" si="26"/>
        <v>4.3666666666666671</v>
      </c>
      <c r="BA30" s="15">
        <f t="shared" si="26"/>
        <v>4.333333333333333</v>
      </c>
      <c r="BB30" s="15">
        <f t="shared" si="26"/>
        <v>4.3</v>
      </c>
      <c r="BC30" s="15">
        <f t="shared" si="26"/>
        <v>4.2666666666666666</v>
      </c>
      <c r="BD30" s="15">
        <f t="shared" si="26"/>
        <v>4.2333333333333334</v>
      </c>
      <c r="BE30" s="15">
        <f t="shared" si="26"/>
        <v>4.2</v>
      </c>
      <c r="BF30" s="15">
        <f t="shared" si="26"/>
        <v>4.166666666666667</v>
      </c>
      <c r="BG30" s="15">
        <f t="shared" si="26"/>
        <v>4.1333333333333329</v>
      </c>
      <c r="BH30" s="15">
        <f t="shared" si="26"/>
        <v>4.0999999999999996</v>
      </c>
      <c r="BI30" s="15">
        <f t="shared" si="26"/>
        <v>4.0666666666666664</v>
      </c>
      <c r="BJ30" s="15">
        <f>$AG30+($BK30-$AG30)/($BK$15-$AG$15)*(BJ$15-$AG$15)</f>
        <v>4.0333333333333332</v>
      </c>
      <c r="BK30" s="36">
        <f>AG30*0.8</f>
        <v>4</v>
      </c>
    </row>
    <row r="31" spans="2:63" ht="15" customHeight="1" x14ac:dyDescent="0.2">
      <c r="B31" s="4"/>
      <c r="C31" s="4"/>
      <c r="D31" s="5"/>
      <c r="E31" s="9"/>
    </row>
    <row r="32" spans="2:63" ht="15" customHeight="1" x14ac:dyDescent="0.2">
      <c r="B32" s="10" t="s">
        <v>10</v>
      </c>
      <c r="C32" s="8"/>
      <c r="D32" s="5"/>
      <c r="E32" s="5"/>
    </row>
    <row r="33" spans="2:63" ht="15" customHeight="1" x14ac:dyDescent="0.2">
      <c r="B33" s="4" t="s">
        <v>2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</row>
    <row r="34" spans="2:63" ht="15" customHeight="1" x14ac:dyDescent="0.2">
      <c r="B34" s="4" t="s">
        <v>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</row>
    <row r="35" spans="2:63" ht="15" customHeight="1" x14ac:dyDescent="0.2">
      <c r="B35" s="4" t="s">
        <v>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</row>
    <row r="36" spans="2:63" ht="15" customHeight="1" x14ac:dyDescent="0.2">
      <c r="B36" s="4" t="s">
        <v>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</row>
    <row r="37" spans="2:63" ht="15" customHeight="1" x14ac:dyDescent="0.2">
      <c r="B37" s="4" t="s">
        <v>6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</row>
    <row r="38" spans="2:63" ht="15" customHeight="1" x14ac:dyDescent="0.2">
      <c r="B38" s="4" t="s">
        <v>7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</row>
    <row r="39" spans="2:63" ht="15" customHeight="1" x14ac:dyDescent="0.2">
      <c r="B39" s="4"/>
      <c r="C39" s="4"/>
      <c r="D39" s="5"/>
      <c r="E39" s="5"/>
    </row>
    <row r="40" spans="2:63" ht="15" customHeight="1" x14ac:dyDescent="0.2">
      <c r="B40" s="10" t="s">
        <v>11</v>
      </c>
      <c r="C40" s="8"/>
      <c r="D40" s="5"/>
      <c r="E40" s="5"/>
    </row>
    <row r="41" spans="2:63" ht="15" customHeight="1" x14ac:dyDescent="0.2">
      <c r="B41" s="4" t="s">
        <v>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</row>
    <row r="42" spans="2:63" ht="15" customHeight="1" x14ac:dyDescent="0.2">
      <c r="B42" s="4" t="s">
        <v>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</row>
    <row r="43" spans="2:63" ht="15" customHeight="1" x14ac:dyDescent="0.2">
      <c r="B43" s="4" t="s">
        <v>4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</row>
    <row r="44" spans="2:63" ht="15" customHeight="1" x14ac:dyDescent="0.2">
      <c r="B44" s="4" t="s">
        <v>5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</row>
    <row r="45" spans="2:63" ht="15" customHeight="1" x14ac:dyDescent="0.2">
      <c r="B45" s="4" t="s">
        <v>6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</row>
    <row r="46" spans="2:63" ht="15" customHeight="1" x14ac:dyDescent="0.2">
      <c r="B46" s="4" t="s">
        <v>7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</row>
    <row r="47" spans="2:63" ht="15" customHeight="1" x14ac:dyDescent="0.2">
      <c r="B47" s="4"/>
      <c r="C47" s="4"/>
      <c r="D47" s="5"/>
      <c r="E47" s="5"/>
    </row>
    <row r="48" spans="2:63" ht="15" customHeight="1" x14ac:dyDescent="0.2">
      <c r="B48" s="10" t="s">
        <v>12</v>
      </c>
      <c r="C48" s="8"/>
      <c r="D48" s="5"/>
      <c r="E48" s="5"/>
    </row>
    <row r="49" spans="2:63" ht="15" customHeight="1" x14ac:dyDescent="0.2">
      <c r="B49" s="4" t="s">
        <v>2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</row>
    <row r="50" spans="2:63" ht="15" customHeight="1" x14ac:dyDescent="0.2">
      <c r="B50" s="4" t="s">
        <v>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</row>
    <row r="51" spans="2:63" ht="15" customHeight="1" x14ac:dyDescent="0.2">
      <c r="B51" s="4" t="s">
        <v>4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</row>
    <row r="52" spans="2:63" ht="15" customHeight="1" x14ac:dyDescent="0.2">
      <c r="B52" s="4" t="s">
        <v>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</row>
    <row r="53" spans="2:63" ht="15" customHeight="1" x14ac:dyDescent="0.2">
      <c r="B53" s="4" t="s">
        <v>6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</row>
    <row r="54" spans="2:63" ht="15" customHeight="1" x14ac:dyDescent="0.2">
      <c r="B54" s="4" t="s">
        <v>7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</row>
    <row r="56" spans="2:63" ht="15" customHeight="1" x14ac:dyDescent="0.2">
      <c r="B56" s="10" t="s">
        <v>13</v>
      </c>
      <c r="C56" s="8"/>
      <c r="D56" s="5"/>
      <c r="E56" s="5"/>
    </row>
    <row r="57" spans="2:63" ht="15" customHeight="1" x14ac:dyDescent="0.2">
      <c r="B57" s="4" t="s">
        <v>2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</row>
    <row r="58" spans="2:63" ht="15" customHeight="1" x14ac:dyDescent="0.2">
      <c r="B58" s="4" t="s">
        <v>3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:63" ht="15" customHeight="1" x14ac:dyDescent="0.2">
      <c r="B59" s="4" t="s">
        <v>4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:63" ht="15" customHeight="1" x14ac:dyDescent="0.2">
      <c r="B60" s="4" t="s">
        <v>5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</row>
    <row r="61" spans="2:63" ht="15" customHeight="1" x14ac:dyDescent="0.2">
      <c r="B61" s="4" t="s">
        <v>6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</row>
    <row r="62" spans="2:63" ht="15" customHeight="1" x14ac:dyDescent="0.2">
      <c r="B62" s="4" t="s">
        <v>7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</row>
    <row r="64" spans="2:63" ht="15" customHeight="1" x14ac:dyDescent="0.2">
      <c r="B64" s="10" t="s">
        <v>14</v>
      </c>
      <c r="C64" s="8"/>
      <c r="D64" s="5"/>
      <c r="E64" s="5"/>
    </row>
    <row r="65" spans="2:63" ht="15" customHeight="1" x14ac:dyDescent="0.2">
      <c r="B65" s="4" t="s">
        <v>2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</row>
    <row r="66" spans="2:63" ht="15" customHeight="1" x14ac:dyDescent="0.2">
      <c r="B66" s="4" t="s">
        <v>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</row>
    <row r="67" spans="2:63" ht="15" customHeight="1" x14ac:dyDescent="0.2">
      <c r="B67" s="4" t="s">
        <v>4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</row>
    <row r="68" spans="2:63" ht="15" customHeight="1" x14ac:dyDescent="0.2">
      <c r="B68" s="4" t="s">
        <v>5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</row>
    <row r="69" spans="2:63" ht="15" customHeight="1" x14ac:dyDescent="0.2">
      <c r="B69" s="4" t="s">
        <v>6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</row>
    <row r="70" spans="2:63" ht="15" customHeight="1" x14ac:dyDescent="0.2">
      <c r="B70" s="4" t="s">
        <v>7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</row>
    <row r="72" spans="2:63" ht="15" customHeight="1" x14ac:dyDescent="0.2">
      <c r="B72" s="10" t="s">
        <v>15</v>
      </c>
      <c r="C72" s="8"/>
      <c r="D72" s="5"/>
      <c r="E72" s="5"/>
    </row>
    <row r="73" spans="2:63" ht="15" customHeight="1" x14ac:dyDescent="0.2">
      <c r="B73" s="4" t="s">
        <v>2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</row>
    <row r="74" spans="2:63" ht="15" customHeight="1" x14ac:dyDescent="0.2">
      <c r="B74" s="4" t="s">
        <v>3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</row>
    <row r="75" spans="2:63" ht="15" customHeight="1" x14ac:dyDescent="0.2">
      <c r="B75" s="4" t="s">
        <v>4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</row>
    <row r="76" spans="2:63" ht="15" customHeight="1" x14ac:dyDescent="0.2">
      <c r="B76" s="4" t="s">
        <v>5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</row>
    <row r="77" spans="2:63" ht="15" customHeight="1" x14ac:dyDescent="0.2">
      <c r="B77" s="4" t="s">
        <v>6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</row>
    <row r="78" spans="2:63" ht="15" customHeight="1" x14ac:dyDescent="0.2">
      <c r="B78" s="4" t="s">
        <v>7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</row>
    <row r="80" spans="2:63" ht="15" customHeight="1" x14ac:dyDescent="0.2">
      <c r="B80" s="10" t="s">
        <v>16</v>
      </c>
      <c r="C80" s="8"/>
      <c r="D80" s="5"/>
      <c r="E80" s="5"/>
    </row>
    <row r="81" spans="2:63" ht="15" customHeight="1" x14ac:dyDescent="0.2">
      <c r="B81" s="4" t="s">
        <v>2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</row>
    <row r="82" spans="2:63" ht="15" customHeight="1" x14ac:dyDescent="0.2">
      <c r="B82" s="4" t="s">
        <v>3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</row>
    <row r="83" spans="2:63" ht="15" customHeight="1" x14ac:dyDescent="0.2">
      <c r="B83" s="4" t="s">
        <v>4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</row>
    <row r="84" spans="2:63" ht="15" customHeight="1" x14ac:dyDescent="0.2">
      <c r="B84" s="4" t="s">
        <v>5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</row>
    <row r="85" spans="2:63" ht="15" customHeight="1" x14ac:dyDescent="0.2">
      <c r="B85" s="4" t="s">
        <v>6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</row>
    <row r="86" spans="2:63" ht="15" customHeight="1" x14ac:dyDescent="0.2">
      <c r="B86" s="4" t="s">
        <v>7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</row>
    <row r="88" spans="2:63" ht="15" customHeight="1" x14ac:dyDescent="0.2">
      <c r="B88" s="10" t="s">
        <v>17</v>
      </c>
      <c r="C88" s="8"/>
      <c r="D88" s="5"/>
      <c r="E88" s="5"/>
    </row>
    <row r="89" spans="2:63" ht="15" customHeight="1" x14ac:dyDescent="0.2">
      <c r="B89" s="4" t="s">
        <v>2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</row>
    <row r="90" spans="2:63" ht="15" customHeight="1" x14ac:dyDescent="0.2">
      <c r="B90" s="4" t="s">
        <v>3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</row>
    <row r="91" spans="2:63" ht="15" customHeight="1" x14ac:dyDescent="0.2">
      <c r="B91" s="4" t="s">
        <v>4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</row>
    <row r="92" spans="2:63" ht="15" customHeight="1" x14ac:dyDescent="0.2">
      <c r="B92" s="4" t="s">
        <v>5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</row>
    <row r="93" spans="2:63" ht="15" customHeight="1" x14ac:dyDescent="0.2">
      <c r="B93" s="4" t="s">
        <v>6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</row>
    <row r="94" spans="2:63" ht="15" customHeight="1" x14ac:dyDescent="0.2">
      <c r="B94" s="4" t="s">
        <v>7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</row>
  </sheetData>
  <mergeCells count="1">
    <mergeCell ref="C5:E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V47"/>
  <sheetViews>
    <sheetView showGridLines="0" workbookViewId="0">
      <selection activeCell="C9" sqref="C9"/>
    </sheetView>
  </sheetViews>
  <sheetFormatPr defaultColWidth="12.140625" defaultRowHeight="15" customHeight="1" x14ac:dyDescent="0.2"/>
  <cols>
    <col min="1" max="1" width="4.28515625" style="3" customWidth="1"/>
    <col min="2" max="2" width="20.28515625" style="3" customWidth="1"/>
    <col min="3" max="3" width="12.140625" style="3"/>
    <col min="4" max="7" width="12.140625" style="6"/>
    <col min="8" max="16384" width="12.140625" style="3"/>
  </cols>
  <sheetData>
    <row r="1" spans="2:48" s="2" customFormat="1" ht="15" customHeight="1" x14ac:dyDescent="0.2"/>
    <row r="2" spans="2:48" ht="33.75" customHeight="1" x14ac:dyDescent="0.3">
      <c r="B2" s="1" t="s">
        <v>36</v>
      </c>
      <c r="C2" s="4"/>
      <c r="D2" s="5"/>
      <c r="E2" s="5"/>
    </row>
    <row r="3" spans="2:48" ht="15" customHeight="1" x14ac:dyDescent="0.2">
      <c r="B3" s="7" t="s">
        <v>0</v>
      </c>
      <c r="C3" s="4"/>
      <c r="D3" s="5"/>
      <c r="E3" s="5"/>
      <c r="H3" s="6"/>
    </row>
    <row r="4" spans="2:48" ht="26.25" customHeight="1" x14ac:dyDescent="0.2">
      <c r="B4" s="4"/>
      <c r="C4" s="4"/>
      <c r="D4" s="5"/>
      <c r="E4" s="5"/>
      <c r="H4" s="6"/>
      <c r="K4" s="6"/>
    </row>
    <row r="5" spans="2:48" ht="15" customHeight="1" x14ac:dyDescent="0.2">
      <c r="B5" s="10" t="s">
        <v>20</v>
      </c>
      <c r="C5" s="13">
        <v>1</v>
      </c>
      <c r="D5" s="5"/>
      <c r="E5" s="5"/>
    </row>
    <row r="6" spans="2:48" ht="26.25" customHeight="1" x14ac:dyDescent="0.2">
      <c r="B6" s="4"/>
      <c r="C6" s="4"/>
      <c r="D6" s="5"/>
      <c r="E6" s="5"/>
      <c r="H6" s="6"/>
      <c r="K6" s="6"/>
    </row>
    <row r="7" spans="2:48" s="2" customFormat="1" ht="15" customHeight="1" x14ac:dyDescent="0.2">
      <c r="C7" s="23">
        <f>Vehicles!C7</f>
        <v>1990</v>
      </c>
      <c r="D7" s="2">
        <f>IF(C$7="","",C$7+1)</f>
        <v>1991</v>
      </c>
      <c r="E7" s="2">
        <f t="shared" ref="E7:W7" si="0">IF(D$7="","",D$7+1)</f>
        <v>1992</v>
      </c>
      <c r="F7" s="2">
        <f t="shared" si="0"/>
        <v>1993</v>
      </c>
      <c r="G7" s="2">
        <f t="shared" si="0"/>
        <v>1994</v>
      </c>
      <c r="H7" s="2">
        <f t="shared" si="0"/>
        <v>1995</v>
      </c>
      <c r="I7" s="2">
        <f t="shared" si="0"/>
        <v>1996</v>
      </c>
      <c r="J7" s="2">
        <f t="shared" si="0"/>
        <v>1997</v>
      </c>
      <c r="K7" s="2">
        <f t="shared" si="0"/>
        <v>1998</v>
      </c>
      <c r="L7" s="2">
        <f t="shared" si="0"/>
        <v>1999</v>
      </c>
      <c r="M7" s="2">
        <f t="shared" si="0"/>
        <v>2000</v>
      </c>
      <c r="N7" s="2">
        <f t="shared" si="0"/>
        <v>2001</v>
      </c>
      <c r="O7" s="2">
        <f t="shared" si="0"/>
        <v>2002</v>
      </c>
      <c r="P7" s="2">
        <f t="shared" si="0"/>
        <v>2003</v>
      </c>
      <c r="Q7" s="2">
        <f t="shared" si="0"/>
        <v>2004</v>
      </c>
      <c r="R7" s="2">
        <f t="shared" si="0"/>
        <v>2005</v>
      </c>
      <c r="S7" s="2">
        <f t="shared" si="0"/>
        <v>2006</v>
      </c>
      <c r="T7" s="2">
        <f t="shared" si="0"/>
        <v>2007</v>
      </c>
      <c r="U7" s="2">
        <f t="shared" si="0"/>
        <v>2008</v>
      </c>
      <c r="V7" s="2">
        <f t="shared" si="0"/>
        <v>2009</v>
      </c>
      <c r="W7" s="2">
        <f t="shared" si="0"/>
        <v>2010</v>
      </c>
      <c r="X7" s="2">
        <f t="shared" ref="X7" si="1">IF(W$7="","",W$7+1)</f>
        <v>2011</v>
      </c>
      <c r="Y7" s="2">
        <f t="shared" ref="Y7" si="2">IF(X$7="","",X$7+1)</f>
        <v>2012</v>
      </c>
      <c r="Z7" s="2">
        <f t="shared" ref="Z7" si="3">IF(Y$7="","",Y$7+1)</f>
        <v>2013</v>
      </c>
      <c r="AA7" s="2">
        <f t="shared" ref="AA7" si="4">IF(Z$7="","",Z$7+1)</f>
        <v>2014</v>
      </c>
      <c r="AB7" s="2">
        <f t="shared" ref="AB7" si="5">IF(AA$7="","",AA$7+1)</f>
        <v>2015</v>
      </c>
      <c r="AC7" s="2">
        <f t="shared" ref="AC7" si="6">IF(AB$7="","",AB$7+1)</f>
        <v>2016</v>
      </c>
      <c r="AD7" s="2">
        <f t="shared" ref="AD7" si="7">IF(AC$7="","",AC$7+1)</f>
        <v>2017</v>
      </c>
      <c r="AE7" s="2">
        <f t="shared" ref="AE7" si="8">IF(AD$7="","",AD$7+1)</f>
        <v>2018</v>
      </c>
      <c r="AF7" s="2">
        <f t="shared" ref="AF7" si="9">IF(AE$7="","",AE$7+1)</f>
        <v>2019</v>
      </c>
      <c r="AG7" s="2">
        <f t="shared" ref="AG7" si="10">IF(AF$7="","",AF$7+1)</f>
        <v>2020</v>
      </c>
      <c r="AH7" s="2">
        <f t="shared" ref="AH7" si="11">IF(AG$7="","",AG$7+1)</f>
        <v>2021</v>
      </c>
      <c r="AI7" s="2">
        <f t="shared" ref="AI7:AJ7" si="12">IF(AH$7="","",AH$7+1)</f>
        <v>2022</v>
      </c>
      <c r="AJ7" s="2">
        <f t="shared" si="12"/>
        <v>2023</v>
      </c>
      <c r="AK7" s="2">
        <f t="shared" ref="AK7" si="13">IF(AJ$7="","",AJ$7+1)</f>
        <v>2024</v>
      </c>
      <c r="AL7" s="2">
        <f t="shared" ref="AL7" si="14">IF(AK$7="","",AK$7+1)</f>
        <v>2025</v>
      </c>
      <c r="AM7" s="2">
        <f t="shared" ref="AM7" si="15">IF(AL$7="","",AL$7+1)</f>
        <v>2026</v>
      </c>
      <c r="AN7" s="2">
        <f t="shared" ref="AN7" si="16">IF(AM$7="","",AM$7+1)</f>
        <v>2027</v>
      </c>
      <c r="AO7" s="2">
        <f t="shared" ref="AO7" si="17">IF(AN$7="","",AN$7+1)</f>
        <v>2028</v>
      </c>
      <c r="AP7" s="2">
        <f t="shared" ref="AP7" si="18">IF(AO$7="","",AO$7+1)</f>
        <v>2029</v>
      </c>
      <c r="AQ7" s="2">
        <f t="shared" ref="AQ7" si="19">IF(AP$7="","",AP$7+1)</f>
        <v>2030</v>
      </c>
      <c r="AR7" s="2">
        <f t="shared" ref="AR7" si="20">IF(AQ$7="","",AQ$7+1)</f>
        <v>2031</v>
      </c>
      <c r="AS7" s="2">
        <f t="shared" ref="AS7" si="21">IF(AR$7="","",AR$7+1)</f>
        <v>2032</v>
      </c>
      <c r="AT7" s="2">
        <f t="shared" ref="AT7" si="22">IF(AS$7="","",AS$7+1)</f>
        <v>2033</v>
      </c>
      <c r="AU7" s="2">
        <f t="shared" ref="AU7" si="23">IF(AT$7="","",AT$7+1)</f>
        <v>2034</v>
      </c>
      <c r="AV7" s="2">
        <f t="shared" ref="AV7" si="24">IF(AU$7="","",AU$7+1)</f>
        <v>2035</v>
      </c>
    </row>
    <row r="8" spans="2:48" ht="15" customHeight="1" x14ac:dyDescent="0.2">
      <c r="B8" s="10"/>
      <c r="C8" s="8"/>
      <c r="D8" s="5"/>
      <c r="E8" s="5"/>
    </row>
    <row r="9" spans="2:48" ht="15" customHeight="1" x14ac:dyDescent="0.2">
      <c r="B9" s="4" t="s">
        <v>18</v>
      </c>
      <c r="C9" s="16">
        <v>12131433</v>
      </c>
      <c r="D9" s="16">
        <v>11900331</v>
      </c>
      <c r="E9" s="16">
        <v>12760307</v>
      </c>
      <c r="F9" s="16">
        <v>10479255</v>
      </c>
      <c r="G9" s="16">
        <v>10987420</v>
      </c>
      <c r="H9" s="16">
        <v>11158354</v>
      </c>
      <c r="I9" s="16">
        <v>12110741</v>
      </c>
      <c r="J9" s="16">
        <v>12668933</v>
      </c>
      <c r="K9" s="16">
        <v>13412441</v>
      </c>
      <c r="L9" s="16">
        <v>14147709</v>
      </c>
      <c r="M9" s="16">
        <v>13666715</v>
      </c>
      <c r="N9" s="16">
        <v>13427331</v>
      </c>
      <c r="O9" s="16">
        <v>12915639</v>
      </c>
      <c r="P9" s="16">
        <v>13109922</v>
      </c>
      <c r="Q9" s="16">
        <v>14105934</v>
      </c>
      <c r="R9" s="16">
        <v>14159172</v>
      </c>
      <c r="S9" s="16">
        <v>14661163</v>
      </c>
      <c r="T9" s="16">
        <v>15083923</v>
      </c>
      <c r="U9" s="16">
        <v>14328132</v>
      </c>
      <c r="V9" s="16">
        <v>13592991</v>
      </c>
      <c r="W9" s="16">
        <v>12691798</v>
      </c>
      <c r="X9" s="16">
        <v>12458694</v>
      </c>
      <c r="Y9" s="16">
        <v>10509379</v>
      </c>
      <c r="Z9" s="16">
        <v>9615637</v>
      </c>
      <c r="AA9" s="16">
        <v>10033476</v>
      </c>
      <c r="AB9" s="16">
        <v>11060772</v>
      </c>
      <c r="AC9" s="16">
        <v>11928848</v>
      </c>
      <c r="AD9" s="16">
        <v>12712008</v>
      </c>
      <c r="AE9" s="16">
        <v>12883453</v>
      </c>
      <c r="AF9" s="16">
        <v>12985686</v>
      </c>
      <c r="AG9" s="16">
        <v>9591988</v>
      </c>
      <c r="AH9" s="16">
        <v>8996559</v>
      </c>
      <c r="AI9" s="16">
        <v>8230916</v>
      </c>
      <c r="AJ9" s="16">
        <v>9106980</v>
      </c>
      <c r="AK9" s="16">
        <f>SUM($AJ$9:$AJ$10)*(1+$C$5/100)^(AK$7-$AJ$7)*AK$20/100</f>
        <v>8431545.6500000004</v>
      </c>
      <c r="AL9" s="16">
        <f t="shared" ref="AL9:AT9" si="25">SUM($AJ$9:$AJ$10)*(1+$C$5/100)^(AL$7-$AJ$7)*AL$20/100</f>
        <v>7741691.915</v>
      </c>
      <c r="AM9" s="16">
        <f t="shared" si="25"/>
        <v>7037197.950734999</v>
      </c>
      <c r="AN9" s="16">
        <f t="shared" si="25"/>
        <v>6317839.9379932014</v>
      </c>
      <c r="AO9" s="16">
        <f t="shared" si="25"/>
        <v>5583391.0452014897</v>
      </c>
      <c r="AP9" s="16">
        <f t="shared" si="25"/>
        <v>4833621.3905601483</v>
      </c>
      <c r="AQ9" s="16">
        <f t="shared" si="25"/>
        <v>4068298.003721457</v>
      </c>
      <c r="AR9" s="16">
        <f t="shared" si="25"/>
        <v>3287184.7870069384</v>
      </c>
      <c r="AS9" s="16">
        <f t="shared" si="25"/>
        <v>2490042.4761577556</v>
      </c>
      <c r="AT9" s="16">
        <f t="shared" si="25"/>
        <v>1676628.6006128895</v>
      </c>
      <c r="AU9" s="16">
        <f>SUM($AJ$9:$AJ$10)*(1+$C$5/100)^(AU$7-$AJ$7)*AU$20/100</f>
        <v>846697.44330950989</v>
      </c>
      <c r="AV9" s="16">
        <f t="shared" ref="AV9" si="26">SUM(AU9:AU10)*(1+$C$5/100)*AV20/100</f>
        <v>0</v>
      </c>
    </row>
    <row r="10" spans="2:48" ht="15" customHeight="1" x14ac:dyDescent="0.2">
      <c r="B10" s="4" t="s">
        <v>21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21908</v>
      </c>
      <c r="AA10" s="16">
        <v>30892</v>
      </c>
      <c r="AB10" s="16">
        <v>46641</v>
      </c>
      <c r="AC10" s="16">
        <v>53544</v>
      </c>
      <c r="AD10" s="16">
        <v>83778</v>
      </c>
      <c r="AE10" s="16">
        <v>134506</v>
      </c>
      <c r="AF10" s="16">
        <v>250082</v>
      </c>
      <c r="AG10" s="16">
        <v>539028</v>
      </c>
      <c r="AH10" s="16">
        <v>885298</v>
      </c>
      <c r="AI10" s="16">
        <v>1129786</v>
      </c>
      <c r="AJ10" s="16">
        <v>1547669</v>
      </c>
      <c r="AK10" s="16">
        <f>SUM($AJ$9:$AJ$10)*(1+$C$5/100)^(AK$7-$AJ$7)*AK$21/100</f>
        <v>2329649.84</v>
      </c>
      <c r="AL10" s="16">
        <f t="shared" ref="AL10:AU10" si="27">SUM($AJ$9:$AJ$10)*(1+$C$5/100)^(AL$7-$AJ$7)*AL$21/100</f>
        <v>3127115.5299</v>
      </c>
      <c r="AM10" s="16">
        <f t="shared" si="27"/>
        <v>3940297.5686139995</v>
      </c>
      <c r="AN10" s="16">
        <f t="shared" si="27"/>
        <v>4769430.5365492897</v>
      </c>
      <c r="AO10" s="16">
        <f t="shared" si="27"/>
        <v>5614752.1340864245</v>
      </c>
      <c r="AP10" s="16">
        <f t="shared" si="27"/>
        <v>6476503.2205206482</v>
      </c>
      <c r="AQ10" s="16">
        <f t="shared" si="27"/>
        <v>7354927.8534701429</v>
      </c>
      <c r="AR10" s="16">
        <f t="shared" si="27"/>
        <v>8250273.3287565801</v>
      </c>
      <c r="AS10" s="16">
        <f t="shared" si="27"/>
        <v>9162790.2207634002</v>
      </c>
      <c r="AT10" s="16">
        <f t="shared" si="27"/>
        <v>10092732.423277477</v>
      </c>
      <c r="AU10" s="16">
        <f t="shared" si="27"/>
        <v>11040357.190819759</v>
      </c>
      <c r="AV10" s="16">
        <f>SUM($AJ$9:$AJ$10)*(1+$C$5/100)^(AV$7-$AJ$7)*AV$21/100</f>
        <v>12005925.180470562</v>
      </c>
    </row>
    <row r="11" spans="2:48" ht="15" customHeight="1" x14ac:dyDescent="0.2">
      <c r="B11" s="4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</row>
    <row r="12" spans="2:48" ht="15" customHeight="1" x14ac:dyDescent="0.2">
      <c r="B12" s="4" t="s">
        <v>23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2:48" ht="15" customHeight="1" x14ac:dyDescent="0.2">
      <c r="B13" s="4" t="s">
        <v>24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2:48" ht="15" customHeight="1" x14ac:dyDescent="0.2">
      <c r="B14" s="4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2:48" ht="15" customHeight="1" x14ac:dyDescent="0.2">
      <c r="B15" s="4" t="s">
        <v>26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2:48" ht="15" customHeight="1" x14ac:dyDescent="0.2">
      <c r="B16" s="4" t="s">
        <v>27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2:48" ht="15" customHeight="1" x14ac:dyDescent="0.2">
      <c r="B17" s="4" t="s">
        <v>28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2:48" ht="15" customHeight="1" x14ac:dyDescent="0.2">
      <c r="B18" s="4" t="s">
        <v>29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20" spans="2:48" ht="15" customHeight="1" x14ac:dyDescent="0.2">
      <c r="Y20" s="26" t="s">
        <v>47</v>
      </c>
      <c r="Z20" s="27">
        <v>99.772680698248365</v>
      </c>
      <c r="AA20" s="27">
        <v>99.693055738820362</v>
      </c>
      <c r="AB20" s="27">
        <v>99.580091241768002</v>
      </c>
      <c r="AC20" s="27">
        <v>99.553144313756377</v>
      </c>
      <c r="AD20" s="27">
        <v>99.345268825221055</v>
      </c>
      <c r="AE20" s="27">
        <v>98.966765834797911</v>
      </c>
      <c r="AF20" s="27">
        <v>98.110559205933498</v>
      </c>
      <c r="AG20" s="27">
        <v>94.679428006036119</v>
      </c>
      <c r="AH20" s="27">
        <v>91.041177786725711</v>
      </c>
      <c r="AI20" s="27">
        <v>87.930541961489638</v>
      </c>
      <c r="AJ20" s="27">
        <v>85.474237583987986</v>
      </c>
      <c r="AK20" s="28">
        <f>$AJ20+($AV20-$AJ20)/($AV$7-$AJ$7)*(AK$7-$AJ$7)</f>
        <v>78.351384451988991</v>
      </c>
      <c r="AL20" s="28">
        <f t="shared" ref="AK20:AU21" si="28">$AJ20+($AV20-$AJ20)/($AV$7-$AJ$7)*(AL$7-$AJ$7)</f>
        <v>71.228531319989983</v>
      </c>
      <c r="AM20" s="28">
        <f t="shared" si="28"/>
        <v>64.105678187990989</v>
      </c>
      <c r="AN20" s="28">
        <f t="shared" si="28"/>
        <v>56.982825055991995</v>
      </c>
      <c r="AO20" s="28">
        <f t="shared" si="28"/>
        <v>49.859971923992994</v>
      </c>
      <c r="AP20" s="28">
        <f t="shared" si="28"/>
        <v>42.737118791993993</v>
      </c>
      <c r="AQ20" s="28">
        <f t="shared" si="28"/>
        <v>35.614265659994999</v>
      </c>
      <c r="AR20" s="28">
        <f t="shared" si="28"/>
        <v>28.491412527995998</v>
      </c>
      <c r="AS20" s="28">
        <f t="shared" si="28"/>
        <v>21.368559395996996</v>
      </c>
      <c r="AT20" s="28">
        <f t="shared" si="28"/>
        <v>14.245706263998002</v>
      </c>
      <c r="AU20" s="28">
        <f t="shared" si="28"/>
        <v>7.1228531319990083</v>
      </c>
      <c r="AV20" s="29">
        <v>0</v>
      </c>
    </row>
    <row r="21" spans="2:48" ht="15" customHeight="1" x14ac:dyDescent="0.2">
      <c r="C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30" t="s">
        <v>48</v>
      </c>
      <c r="Z21" s="25">
        <v>0.22731930175163903</v>
      </c>
      <c r="AA21" s="25">
        <v>0.30694426117963891</v>
      </c>
      <c r="AB21" s="25">
        <v>0.41990875823200235</v>
      </c>
      <c r="AC21" s="25">
        <v>0.44685568624361477</v>
      </c>
      <c r="AD21" s="25">
        <v>0.65473117477894671</v>
      </c>
      <c r="AE21" s="25">
        <v>1.0332341652020873</v>
      </c>
      <c r="AF21" s="25">
        <v>1.8894407940665023</v>
      </c>
      <c r="AG21" s="25">
        <v>5.3205719939638829</v>
      </c>
      <c r="AH21" s="25">
        <v>8.9588222132742867</v>
      </c>
      <c r="AI21" s="25">
        <v>12.06945803851036</v>
      </c>
      <c r="AJ21" s="25">
        <v>14.525762416012014</v>
      </c>
      <c r="AK21" s="24">
        <f t="shared" si="28"/>
        <v>21.648615548011012</v>
      </c>
      <c r="AL21" s="24">
        <f t="shared" si="28"/>
        <v>28.77146868001001</v>
      </c>
      <c r="AM21" s="24">
        <f t="shared" si="28"/>
        <v>35.894321812009011</v>
      </c>
      <c r="AN21" s="24">
        <f t="shared" si="28"/>
        <v>43.017174944008005</v>
      </c>
      <c r="AO21" s="24">
        <f t="shared" si="28"/>
        <v>50.140028076007006</v>
      </c>
      <c r="AP21" s="24">
        <f t="shared" si="28"/>
        <v>57.262881208006007</v>
      </c>
      <c r="AQ21" s="24">
        <f t="shared" si="28"/>
        <v>64.385734340005001</v>
      </c>
      <c r="AR21" s="24">
        <f t="shared" si="28"/>
        <v>71.508587472003995</v>
      </c>
      <c r="AS21" s="24">
        <f>$AJ21+($AV21-$AJ21)/($AV$7-$AJ$7)*(AS$7-$AJ$7)</f>
        <v>78.631440604003004</v>
      </c>
      <c r="AT21" s="24">
        <f t="shared" si="28"/>
        <v>85.754293736001998</v>
      </c>
      <c r="AU21" s="24">
        <f t="shared" si="28"/>
        <v>92.877146868000992</v>
      </c>
      <c r="AV21" s="31">
        <v>100</v>
      </c>
    </row>
    <row r="22" spans="2:48" ht="15" customHeight="1" x14ac:dyDescent="0.2">
      <c r="C22" s="4"/>
      <c r="Y22" s="32" t="s">
        <v>49</v>
      </c>
      <c r="Z22" s="33">
        <f>SUM(Z20:Z21)</f>
        <v>100</v>
      </c>
      <c r="AA22" s="33">
        <f t="shared" ref="AA22:AV22" si="29">SUM(AA20:AA21)</f>
        <v>100</v>
      </c>
      <c r="AB22" s="33">
        <f t="shared" si="29"/>
        <v>100</v>
      </c>
      <c r="AC22" s="33">
        <f t="shared" si="29"/>
        <v>99.999999999999986</v>
      </c>
      <c r="AD22" s="33">
        <f t="shared" si="29"/>
        <v>100</v>
      </c>
      <c r="AE22" s="33">
        <f t="shared" si="29"/>
        <v>100</v>
      </c>
      <c r="AF22" s="33">
        <f t="shared" si="29"/>
        <v>100</v>
      </c>
      <c r="AG22" s="33">
        <f t="shared" si="29"/>
        <v>100</v>
      </c>
      <c r="AH22" s="33">
        <f t="shared" si="29"/>
        <v>100</v>
      </c>
      <c r="AI22" s="33">
        <f t="shared" si="29"/>
        <v>100</v>
      </c>
      <c r="AJ22" s="33">
        <f t="shared" si="29"/>
        <v>100</v>
      </c>
      <c r="AK22" s="34">
        <f t="shared" si="29"/>
        <v>100</v>
      </c>
      <c r="AL22" s="34">
        <f t="shared" si="29"/>
        <v>100</v>
      </c>
      <c r="AM22" s="34">
        <f t="shared" si="29"/>
        <v>100</v>
      </c>
      <c r="AN22" s="34">
        <f t="shared" si="29"/>
        <v>100</v>
      </c>
      <c r="AO22" s="34">
        <f t="shared" si="29"/>
        <v>100</v>
      </c>
      <c r="AP22" s="34">
        <f t="shared" si="29"/>
        <v>100</v>
      </c>
      <c r="AQ22" s="34">
        <f t="shared" si="29"/>
        <v>100</v>
      </c>
      <c r="AR22" s="34">
        <f t="shared" si="29"/>
        <v>100</v>
      </c>
      <c r="AS22" s="34">
        <f t="shared" si="29"/>
        <v>100</v>
      </c>
      <c r="AT22" s="34">
        <f>SUM(AT20:AT21)</f>
        <v>100</v>
      </c>
      <c r="AU22" s="34">
        <f t="shared" si="29"/>
        <v>100</v>
      </c>
      <c r="AV22" s="35">
        <f t="shared" si="29"/>
        <v>100</v>
      </c>
    </row>
    <row r="23" spans="2:48" ht="15" customHeight="1" x14ac:dyDescent="0.2"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2:48" ht="15" customHeight="1" x14ac:dyDescent="0.2">
      <c r="C24" s="4"/>
      <c r="Z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2:48" ht="15" customHeight="1" x14ac:dyDescent="0.2">
      <c r="C25" s="4"/>
      <c r="Z25" s="4"/>
    </row>
    <row r="26" spans="2:48" ht="15" customHeight="1" x14ac:dyDescent="0.2">
      <c r="C26" s="4"/>
      <c r="Z26" s="4"/>
    </row>
    <row r="27" spans="2:48" ht="15" customHeight="1" x14ac:dyDescent="0.2">
      <c r="C27" s="4"/>
      <c r="Z27" s="4"/>
    </row>
    <row r="28" spans="2:48" ht="15" customHeight="1" x14ac:dyDescent="0.2">
      <c r="C28" s="4"/>
      <c r="Z28" s="4"/>
    </row>
    <row r="29" spans="2:48" ht="15" customHeight="1" x14ac:dyDescent="0.2">
      <c r="C29" s="4"/>
      <c r="Z29" s="4"/>
    </row>
    <row r="30" spans="2:48" ht="15" customHeight="1" x14ac:dyDescent="0.2">
      <c r="C30" s="4"/>
      <c r="Z30" s="4"/>
    </row>
    <row r="31" spans="2:48" ht="15" customHeight="1" x14ac:dyDescent="0.2">
      <c r="C31" s="4"/>
      <c r="Z31" s="4"/>
    </row>
    <row r="32" spans="2:48" ht="15" customHeight="1" x14ac:dyDescent="0.2">
      <c r="C32" s="4"/>
      <c r="Z32" s="4"/>
    </row>
    <row r="33" spans="3:26" ht="15" customHeight="1" x14ac:dyDescent="0.2">
      <c r="C33" s="4"/>
      <c r="Z33" s="4"/>
    </row>
    <row r="34" spans="3:26" ht="15" customHeight="1" x14ac:dyDescent="0.2">
      <c r="C34" s="4"/>
      <c r="Z34" s="4"/>
    </row>
    <row r="35" spans="3:26" ht="15" customHeight="1" x14ac:dyDescent="0.2">
      <c r="C35" s="4"/>
    </row>
    <row r="36" spans="3:26" ht="15" customHeight="1" x14ac:dyDescent="0.2">
      <c r="C36" s="4"/>
    </row>
    <row r="37" spans="3:26" ht="15" customHeight="1" x14ac:dyDescent="0.2">
      <c r="C37" s="4"/>
    </row>
    <row r="38" spans="3:26" ht="15" customHeight="1" x14ac:dyDescent="0.2">
      <c r="C38" s="4"/>
    </row>
    <row r="39" spans="3:26" ht="15" customHeight="1" x14ac:dyDescent="0.2">
      <c r="C39" s="4"/>
    </row>
    <row r="40" spans="3:26" ht="15" customHeight="1" x14ac:dyDescent="0.2">
      <c r="C40" s="4"/>
    </row>
    <row r="41" spans="3:26" ht="15" customHeight="1" x14ac:dyDescent="0.2">
      <c r="C41" s="4"/>
    </row>
    <row r="42" spans="3:26" ht="15" customHeight="1" x14ac:dyDescent="0.2">
      <c r="C42" s="4"/>
    </row>
    <row r="43" spans="3:26" ht="15" customHeight="1" x14ac:dyDescent="0.2">
      <c r="C43" s="4"/>
    </row>
    <row r="44" spans="3:26" ht="15" customHeight="1" x14ac:dyDescent="0.2">
      <c r="C44" s="4"/>
    </row>
    <row r="45" spans="3:26" ht="15" customHeight="1" x14ac:dyDescent="0.2">
      <c r="C45" s="4"/>
    </row>
    <row r="46" spans="3:26" ht="15" customHeight="1" x14ac:dyDescent="0.2">
      <c r="C46" s="4"/>
    </row>
    <row r="47" spans="3:26" ht="15" customHeight="1" x14ac:dyDescent="0.2">
      <c r="C47" s="4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Z72"/>
  <sheetViews>
    <sheetView showGridLines="0" workbookViewId="0">
      <selection activeCell="C9" sqref="C9"/>
    </sheetView>
  </sheetViews>
  <sheetFormatPr defaultColWidth="12.140625" defaultRowHeight="15" customHeight="1" x14ac:dyDescent="0.2"/>
  <cols>
    <col min="1" max="1" width="4.28515625" style="3" customWidth="1"/>
    <col min="2" max="2" width="22.8554687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s="2" customFormat="1" ht="15" customHeight="1" x14ac:dyDescent="0.2">
      <c r="C5" s="23">
        <f>Vehicles!C7</f>
        <v>1990</v>
      </c>
      <c r="D5" s="2">
        <f>IF(C$5="","",IF(C$5+1&lt;=Vehicles!$C$8,C$5+1,""))</f>
        <v>1991</v>
      </c>
      <c r="E5" s="2">
        <f>IF(D$5="","",IF(D$5+1&lt;=Vehicles!$C$8,D$5+1,""))</f>
        <v>1992</v>
      </c>
      <c r="F5" s="2">
        <f>IF(E$5="","",IF(E$5+1&lt;=Vehicles!$C$8,E$5+1,""))</f>
        <v>1993</v>
      </c>
      <c r="G5" s="2">
        <f>IF(F$5="","",IF(F$5+1&lt;=Vehicles!$C$8,F$5+1,""))</f>
        <v>1994</v>
      </c>
      <c r="H5" s="2">
        <f>IF(G$5="","",IF(G$5+1&lt;=Vehicles!$C$8,G$5+1,""))</f>
        <v>1995</v>
      </c>
      <c r="I5" s="2">
        <f>IF(H$5="","",IF(H$5+1&lt;=Vehicles!$C$8,H$5+1,""))</f>
        <v>1996</v>
      </c>
      <c r="J5" s="2">
        <f>IF(I$5="","",IF(I$5+1&lt;=Vehicles!$C$8,I$5+1,""))</f>
        <v>1997</v>
      </c>
      <c r="K5" s="2">
        <f>IF(J$5="","",IF(J$5+1&lt;=Vehicles!$C$8,J$5+1,""))</f>
        <v>1998</v>
      </c>
      <c r="L5" s="2">
        <f>IF(K$5="","",IF(K$5+1&lt;=Vehicles!$C$8,K$5+1,""))</f>
        <v>1999</v>
      </c>
      <c r="M5" s="2">
        <f>IF(L$5="","",IF(L$5+1&lt;=Vehicles!$C$8,L$5+1,""))</f>
        <v>2000</v>
      </c>
      <c r="N5" s="2">
        <f>IF(M$5="","",IF(M$5+1&lt;=Vehicles!$C$8,M$5+1,""))</f>
        <v>2001</v>
      </c>
      <c r="O5" s="2">
        <f>IF(N$5="","",IF(N$5+1&lt;=Vehicles!$C$8,N$5+1,""))</f>
        <v>2002</v>
      </c>
      <c r="P5" s="2">
        <f>IF(O$5="","",IF(O$5+1&lt;=Vehicles!$C$8,O$5+1,""))</f>
        <v>2003</v>
      </c>
      <c r="Q5" s="2">
        <f>IF(P$5="","",IF(P$5+1&lt;=Vehicles!$C$8,P$5+1,""))</f>
        <v>2004</v>
      </c>
      <c r="R5" s="2">
        <f>IF(Q$5="","",IF(Q$5+1&lt;=Vehicles!$C$8,Q$5+1,""))</f>
        <v>2005</v>
      </c>
      <c r="S5" s="2">
        <f>IF(R$5="","",IF(R$5+1&lt;=Vehicles!$C$8,R$5+1,""))</f>
        <v>2006</v>
      </c>
      <c r="T5" s="2">
        <f>IF(S$5="","",IF(S$5+1&lt;=Vehicles!$C$8,S$5+1,""))</f>
        <v>2007</v>
      </c>
      <c r="U5" s="2">
        <f>IF(T$5="","",IF(T$5+1&lt;=Vehicles!$C$8,T$5+1,""))</f>
        <v>2008</v>
      </c>
      <c r="V5" s="2">
        <f>IF(U$5="","",IF(U$5+1&lt;=Vehicles!$C$8,U$5+1,""))</f>
        <v>2009</v>
      </c>
      <c r="W5" s="2">
        <f>IF(V$5="","",IF(V$5+1&lt;=Vehicles!$C$8,V$5+1,""))</f>
        <v>2010</v>
      </c>
      <c r="X5" s="2">
        <f>IF(W$5="","",IF(W$5+1&lt;=Vehicles!$C$8,W$5+1,""))</f>
        <v>2011</v>
      </c>
      <c r="Y5" s="2">
        <f>IF(X$5="","",IF(X$5+1&lt;=Vehicles!$C$8,X$5+1,""))</f>
        <v>2012</v>
      </c>
      <c r="Z5" s="2">
        <f>IF(Y$5="","",IF(Y$5+1&lt;=Vehicles!$C$8,Y$5+1,""))</f>
        <v>2013</v>
      </c>
      <c r="AA5" s="2">
        <f>IF(Z$5="","",IF(Z$5+1&lt;=Vehicles!$C$8,Z$5+1,""))</f>
        <v>2014</v>
      </c>
      <c r="AB5" s="2">
        <f>IF(AA$5="","",IF(AA$5+1&lt;=Vehicles!$C$8,AA$5+1,""))</f>
        <v>2015</v>
      </c>
      <c r="AC5" s="2">
        <f>IF(AB$5="","",IF(AB$5+1&lt;=Vehicles!$C$8,AB$5+1,""))</f>
        <v>2016</v>
      </c>
      <c r="AD5" s="2">
        <f>IF(AC$5="","",IF(AC$5+1&lt;=Vehicles!$C$8,AC$5+1,""))</f>
        <v>2017</v>
      </c>
      <c r="AE5" s="2">
        <f>IF(AD$5="","",IF(AD$5+1&lt;=Vehicles!$C$8,AD$5+1,""))</f>
        <v>2018</v>
      </c>
      <c r="AF5" s="2">
        <f>IF(AE$5="","",IF(AE$5+1&lt;=Vehicles!$C$8,AE$5+1,""))</f>
        <v>2019</v>
      </c>
      <c r="AG5" s="2">
        <f>IF(AF$5="","",IF(AF$5+1&lt;=Vehicles!$C$8,AF$5+1,""))</f>
        <v>2020</v>
      </c>
      <c r="AH5" s="2">
        <f>IF(AG$5="","",IF(AG$5+1&lt;=Vehicles!$C$8,AG$5+1,""))</f>
        <v>2021</v>
      </c>
      <c r="AI5" s="2">
        <f>IF(AH$5="","",IF(AH$5+1&lt;=Vehicles!$C$8,AH$5+1,""))</f>
        <v>2022</v>
      </c>
      <c r="AJ5" s="2">
        <f>IF(AI$5="","",IF(AI$5+1&lt;=Vehicles!$C$8,AI$5+1,""))</f>
        <v>2023</v>
      </c>
      <c r="AK5" s="2">
        <f>IF(AJ$5="","",IF(AJ$5+1&lt;=Vehicles!$C$8,AJ$5+1,""))</f>
        <v>2024</v>
      </c>
      <c r="AL5" s="2">
        <f>IF(AK$5="","",IF(AK$5+1&lt;=Vehicles!$C$8,AK$5+1,""))</f>
        <v>2025</v>
      </c>
      <c r="AM5" s="2">
        <f>IF(AL$5="","",IF(AL$5+1&lt;=Vehicles!$C$8,AL$5+1,""))</f>
        <v>2026</v>
      </c>
      <c r="AN5" s="2">
        <f>IF(AM$5="","",IF(AM$5+1&lt;=Vehicles!$C$8,AM$5+1,""))</f>
        <v>2027</v>
      </c>
      <c r="AO5" s="2">
        <f>IF(AN$5="","",IF(AN$5+1&lt;=Vehicles!$C$8,AN$5+1,""))</f>
        <v>2028</v>
      </c>
      <c r="AP5" s="2">
        <f>IF(AO$5="","",IF(AO$5+1&lt;=Vehicles!$C$8,AO$5+1,""))</f>
        <v>2029</v>
      </c>
      <c r="AQ5" s="2">
        <f>IF(AP$5="","",IF(AP$5+1&lt;=Vehicles!$C$8,AP$5+1,""))</f>
        <v>2030</v>
      </c>
      <c r="AR5" s="2">
        <f>IF(AQ$5="","",IF(AQ$5+1&lt;=Vehicles!$C$8,AQ$5+1,""))</f>
        <v>2031</v>
      </c>
      <c r="AS5" s="2">
        <f>IF(AR$5="","",IF(AR$5+1&lt;=Vehicles!$C$8,AR$5+1,""))</f>
        <v>2032</v>
      </c>
      <c r="AT5" s="2">
        <f>IF(AS$5="","",IF(AS$5+1&lt;=Vehicles!$C$8,AS$5+1,""))</f>
        <v>2033</v>
      </c>
      <c r="AU5" s="2">
        <f>IF(AT$5="","",IF(AT$5+1&lt;=Vehicles!$C$8,AT$5+1,""))</f>
        <v>2034</v>
      </c>
      <c r="AV5" s="2">
        <f>IF(AU$5="","",IF(AU$5+1&lt;=Vehicles!$C$8,AU$5+1,""))</f>
        <v>2035</v>
      </c>
      <c r="AW5" s="2">
        <f>IF(AV$5="","",IF(AV$5+1&lt;=Vehicles!$C$8,AV$5+1,""))</f>
        <v>2036</v>
      </c>
      <c r="AX5" s="2">
        <f>IF(AW$5="","",IF(AW$5+1&lt;=Vehicles!$C$8,AW$5+1,""))</f>
        <v>2037</v>
      </c>
      <c r="AY5" s="2">
        <f>IF(AX$5="","",IF(AX$5+1&lt;=Vehicles!$C$8,AX$5+1,""))</f>
        <v>2038</v>
      </c>
      <c r="AZ5" s="2">
        <f>IF(AY$5="","",IF(AY$5+1&lt;=Vehicles!$C$8,AY$5+1,""))</f>
        <v>2039</v>
      </c>
      <c r="BA5" s="2">
        <f>IF(AZ$5="","",IF(AZ$5+1&lt;=Vehicles!$C$8,AZ$5+1,""))</f>
        <v>2040</v>
      </c>
      <c r="BB5" s="2">
        <f>IF(BA$5="","",IF(BA$5+1&lt;=Vehicles!$C$8,BA$5+1,""))</f>
        <v>2041</v>
      </c>
      <c r="BC5" s="2">
        <f>IF(BB$5="","",IF(BB$5+1&lt;=Vehicles!$C$8,BB$5+1,""))</f>
        <v>2042</v>
      </c>
      <c r="BD5" s="2">
        <f>IF(BC$5="","",IF(BC$5+1&lt;=Vehicles!$C$8,BC$5+1,""))</f>
        <v>2043</v>
      </c>
      <c r="BE5" s="2">
        <f>IF(BD$5="","",IF(BD$5+1&lt;=Vehicles!$C$8,BD$5+1,""))</f>
        <v>2044</v>
      </c>
      <c r="BF5" s="2">
        <f>IF(BE$5="","",IF(BE$5+1&lt;=Vehicles!$C$8,BE$5+1,""))</f>
        <v>2045</v>
      </c>
      <c r="BG5" s="2">
        <f>IF(BF$5="","",IF(BF$5+1&lt;=Vehicles!$C$8,BF$5+1,""))</f>
        <v>2046</v>
      </c>
      <c r="BH5" s="2">
        <f>IF(BG$5="","",IF(BG$5+1&lt;=Vehicles!$C$8,BG$5+1,""))</f>
        <v>2047</v>
      </c>
      <c r="BI5" s="2">
        <f>IF(BH$5="","",IF(BH$5+1&lt;=Vehicles!$C$8,BH$5+1,""))</f>
        <v>2048</v>
      </c>
      <c r="BJ5" s="2">
        <f>IF(BI$5="","",IF(BI$5+1&lt;=Vehicles!$C$8,BI$5+1,""))</f>
        <v>2049</v>
      </c>
      <c r="BK5" s="2">
        <f>IF(BJ$5="","",IF(BJ$5+1&lt;=Vehicles!$C$8,BJ$5+1,""))</f>
        <v>2050</v>
      </c>
      <c r="BL5" s="2" t="str">
        <f>IF(BK$5="","",IF(BK$5+1&lt;=Vehicles!$C$8,BK$5+1,""))</f>
        <v/>
      </c>
      <c r="BM5" s="2" t="str">
        <f>IF(BL$5="","",IF(BL$5+1&lt;=Vehicles!$C$8,BL$5+1,""))</f>
        <v/>
      </c>
      <c r="BN5" s="2" t="str">
        <f>IF(BM$5="","",IF(BM$5+1&lt;=Vehicles!$C$8,BM$5+1,""))</f>
        <v/>
      </c>
      <c r="BO5" s="2" t="str">
        <f>IF(BN$5="","",IF(BN$5+1&lt;=Vehicles!$C$8,BN$5+1,""))</f>
        <v/>
      </c>
      <c r="BP5" s="2" t="str">
        <f>IF(BO$5="","",IF(BO$5+1&lt;=Vehicles!$C$8,BO$5+1,""))</f>
        <v/>
      </c>
      <c r="BQ5" s="2" t="str">
        <f>IF(BP$5="","",IF(BP$5+1&lt;=Vehicles!$C$8,BP$5+1,""))</f>
        <v/>
      </c>
      <c r="BR5" s="2" t="str">
        <f>IF(BQ$5="","",IF(BQ$5+1&lt;=Vehicles!$C$8,BQ$5+1,""))</f>
        <v/>
      </c>
      <c r="BS5" s="2" t="str">
        <f>IF(BR$5="","",IF(BR$5+1&lt;=Vehicles!$C$8,BR$5+1,""))</f>
        <v/>
      </c>
      <c r="BT5" s="2" t="str">
        <f>IF(BS$5="","",IF(BS$5+1&lt;=Vehicles!$C$8,BS$5+1,""))</f>
        <v/>
      </c>
      <c r="BU5" s="2" t="str">
        <f>IF(BT$5="","",IF(BT$5+1&lt;=Vehicles!$C$8,BT$5+1,""))</f>
        <v/>
      </c>
      <c r="BV5" s="2" t="str">
        <f>IF(BU$5="","",IF(BU$5+1&lt;=Vehicles!$C$8,BU$5+1,""))</f>
        <v/>
      </c>
      <c r="BW5" s="2" t="str">
        <f>IF(BV$5="","",IF(BV$5+1&lt;=Vehicles!$C$8,BV$5+1,""))</f>
        <v/>
      </c>
      <c r="BX5" s="2" t="str">
        <f>IF(BW$5="","",IF(BW$5+1&lt;=Vehicles!$C$8,BW$5+1,""))</f>
        <v/>
      </c>
      <c r="BY5" s="2" t="str">
        <f>IF(BX$5="","",IF(BX$5+1&lt;=Vehicles!$C$8,BX$5+1,""))</f>
        <v/>
      </c>
      <c r="BZ5" s="2" t="str">
        <f>IF(BY$5="","",IF(BY$5+1&lt;=Vehicles!$C$8,BY$5+1,""))</f>
        <v/>
      </c>
      <c r="CA5" s="2" t="str">
        <f>IF(BZ$5="","",IF(BZ$5+1&lt;=Vehicles!$C$8,BZ$5+1,""))</f>
        <v/>
      </c>
      <c r="CB5" s="2" t="str">
        <f>IF(CA$5="","",IF(CA$5+1&lt;=Vehicles!$C$8,CA$5+1,""))</f>
        <v/>
      </c>
      <c r="CC5" s="2" t="str">
        <f>IF(CB$5="","",IF(CB$5+1&lt;=Vehicles!$C$8,CB$5+1,""))</f>
        <v/>
      </c>
      <c r="CD5" s="2" t="str">
        <f>IF(CC$5="","",IF(CC$5+1&lt;=Vehicles!$C$8,CC$5+1,""))</f>
        <v/>
      </c>
      <c r="CE5" s="2" t="str">
        <f>IF(CD$5="","",IF(CD$5+1&lt;=Vehicles!$C$8,CD$5+1,""))</f>
        <v/>
      </c>
      <c r="CF5" s="2" t="str">
        <f>IF(CE$5="","",IF(CE$5+1&lt;=Vehicles!$C$8,CE$5+1,""))</f>
        <v/>
      </c>
      <c r="CG5" s="2" t="str">
        <f>IF(CF$5="","",IF(CF$5+1&lt;=Vehicles!$C$8,CF$5+1,""))</f>
        <v/>
      </c>
      <c r="CH5" s="2" t="str">
        <f>IF(CG$5="","",IF(CG$5+1&lt;=Vehicles!$C$8,CG$5+1,""))</f>
        <v/>
      </c>
      <c r="CI5" s="2" t="str">
        <f>IF(CH$5="","",IF(CH$5+1&lt;=Vehicles!$C$8,CH$5+1,""))</f>
        <v/>
      </c>
      <c r="CJ5" s="2" t="str">
        <f>IF(CI$5="","",IF(CI$5+1&lt;=Vehicles!$C$8,CI$5+1,""))</f>
        <v/>
      </c>
      <c r="CK5" s="2" t="str">
        <f>IF(CJ$5="","",IF(CJ$5+1&lt;=Vehicles!$C$8,CJ$5+1,""))</f>
        <v/>
      </c>
      <c r="CL5" s="2" t="str">
        <f>IF(CK$5="","",IF(CK$5+1&lt;=Vehicles!$C$8,CK$5+1,""))</f>
        <v/>
      </c>
      <c r="CM5" s="2" t="str">
        <f>IF(CL$5="","",IF(CL$5+1&lt;=Vehicles!$C$8,CL$5+1,""))</f>
        <v/>
      </c>
      <c r="CN5" s="2" t="str">
        <f>IF(CM$5="","",IF(CM$5+1&lt;=Vehicles!$C$8,CM$5+1,""))</f>
        <v/>
      </c>
      <c r="CO5" s="2" t="str">
        <f>IF(CN$5="","",IF(CN$5+1&lt;=Vehicles!$C$8,CN$5+1,""))</f>
        <v/>
      </c>
      <c r="CP5" s="2" t="str">
        <f>IF(CO$5="","",IF(CO$5+1&lt;=Vehicles!$C$8,CO$5+1,""))</f>
        <v/>
      </c>
      <c r="CQ5" s="2" t="str">
        <f>IF(CP$5="","",IF(CP$5+1&lt;=Vehicles!$C$8,CP$5+1,""))</f>
        <v/>
      </c>
      <c r="CR5" s="2" t="str">
        <f>IF(CQ$5="","",IF(CQ$5+1&lt;=Vehicles!$C$8,CQ$5+1,""))</f>
        <v/>
      </c>
      <c r="CS5" s="2" t="str">
        <f>IF(CR$5="","",IF(CR$5+1&lt;=Vehicles!$C$8,CR$5+1,""))</f>
        <v/>
      </c>
      <c r="CT5" s="2" t="str">
        <f>IF(CS$5="","",IF(CS$5+1&lt;=Vehicles!$C$8,CS$5+1,""))</f>
        <v/>
      </c>
      <c r="CU5" s="2" t="str">
        <f>IF(CT$5="","",IF(CT$5+1&lt;=Vehicles!$C$8,CT$5+1,""))</f>
        <v/>
      </c>
      <c r="CV5" s="2" t="str">
        <f>IF(CU$5="","",IF(CU$5+1&lt;=Vehicles!$C$8,CU$5+1,""))</f>
        <v/>
      </c>
      <c r="CW5" s="2" t="str">
        <f>IF(CV$5="","",IF(CV$5+1&lt;=Vehicles!$C$8,CV$5+1,""))</f>
        <v/>
      </c>
      <c r="CX5" s="2" t="str">
        <f>IF(CW$5="","",IF(CW$5+1&lt;=Vehicles!$C$8,CW$5+1,""))</f>
        <v/>
      </c>
      <c r="CY5" s="2" t="str">
        <f>IF(CX$5="","",IF(CX$5+1&lt;=Vehicles!$C$8,CX$5+1,""))</f>
        <v/>
      </c>
      <c r="CZ5" s="2" t="str">
        <f>IF(CY$5="","",IF(CY$5+1&lt;=Vehicles!$C$8,CY$5+1,""))</f>
        <v/>
      </c>
      <c r="DA5" s="2" t="str">
        <f>IF(CZ$5="","",IF(CZ$5+1&lt;=Vehicles!$C$8,CZ$5+1,""))</f>
        <v/>
      </c>
      <c r="DB5" s="2" t="str">
        <f>IF(DA$5="","",IF(DA$5+1&lt;=Vehicles!$C$8,DA$5+1,""))</f>
        <v/>
      </c>
      <c r="DC5" s="2" t="str">
        <f>IF(DB$5="","",IF(DB$5+1&lt;=Vehicles!$C$8,DB$5+1,""))</f>
        <v/>
      </c>
      <c r="DD5" s="2" t="str">
        <f>IF(DC$5="","",IF(DC$5+1&lt;=Vehicles!$C$8,DC$5+1,""))</f>
        <v/>
      </c>
      <c r="DE5" s="2" t="str">
        <f>IF(DD$5="","",IF(DD$5+1&lt;=Vehicles!$C$8,DD$5+1,""))</f>
        <v/>
      </c>
      <c r="DF5" s="2" t="str">
        <f>IF(DE$5="","",IF(DE$5+1&lt;=Vehicles!$C$8,DE$5+1,""))</f>
        <v/>
      </c>
      <c r="DG5" s="2" t="str">
        <f>IF(DF$5="","",IF(DF$5+1&lt;=Vehicles!$C$8,DF$5+1,""))</f>
        <v/>
      </c>
      <c r="DH5" s="2" t="str">
        <f>IF(DG$5="","",IF(DG$5+1&lt;=Vehicles!$C$8,DG$5+1,""))</f>
        <v/>
      </c>
      <c r="DI5" s="2" t="str">
        <f>IF(DH$5="","",IF(DH$5+1&lt;=Vehicles!$C$8,DH$5+1,""))</f>
        <v/>
      </c>
      <c r="DJ5" s="2" t="str">
        <f>IF(DI$5="","",IF(DI$5+1&lt;=Vehicles!$C$8,DI$5+1,""))</f>
        <v/>
      </c>
      <c r="DK5" s="2" t="str">
        <f>IF(DJ$5="","",IF(DJ$5+1&lt;=Vehicles!$C$8,DJ$5+1,""))</f>
        <v/>
      </c>
      <c r="DL5" s="2" t="str">
        <f>IF(DK$5="","",IF(DK$5+1&lt;=Vehicles!$C$8,DK$5+1,""))</f>
        <v/>
      </c>
      <c r="DM5" s="2" t="str">
        <f>IF(DL$5="","",IF(DL$5+1&lt;=Vehicles!$C$8,DL$5+1,""))</f>
        <v/>
      </c>
      <c r="DN5" s="2" t="str">
        <f>IF(DM$5="","",IF(DM$5+1&lt;=Vehicles!$C$8,DM$5+1,""))</f>
        <v/>
      </c>
      <c r="DO5" s="2" t="str">
        <f>IF(DN$5="","",IF(DN$5+1&lt;=Vehicles!$C$8,DN$5+1,""))</f>
        <v/>
      </c>
      <c r="DP5" s="2" t="str">
        <f>IF(DO$5="","",IF(DO$5+1&lt;=Vehicles!$C$8,DO$5+1,""))</f>
        <v/>
      </c>
      <c r="DQ5" s="2" t="str">
        <f>IF(DP$5="","",IF(DP$5+1&lt;=Vehicles!$C$8,DP$5+1,""))</f>
        <v/>
      </c>
      <c r="DR5" s="2" t="str">
        <f>IF(DQ$5="","",IF(DQ$5+1&lt;=Vehicles!$C$8,DQ$5+1,""))</f>
        <v/>
      </c>
      <c r="DS5" s="2" t="str">
        <f>IF(DR$5="","",IF(DR$5+1&lt;=Vehicles!$C$8,DR$5+1,""))</f>
        <v/>
      </c>
      <c r="DT5" s="2" t="str">
        <f>IF(DS$5="","",IF(DS$5+1&lt;=Vehicles!$C$8,DS$5+1,""))</f>
        <v/>
      </c>
      <c r="DU5" s="2" t="str">
        <f>IF(DT$5="","",IF(DT$5+1&lt;=Vehicles!$C$8,DT$5+1,""))</f>
        <v/>
      </c>
      <c r="DV5" s="2" t="str">
        <f>IF(DU$5="","",IF(DU$5+1&lt;=Vehicles!$C$8,DU$5+1,""))</f>
        <v/>
      </c>
      <c r="DW5" s="2" t="str">
        <f>IF(DV$5="","",IF(DV$5+1&lt;=Vehicles!$C$8,DV$5+1,""))</f>
        <v/>
      </c>
      <c r="DX5" s="2" t="str">
        <f>IF(DW$5="","",IF(DW$5+1&lt;=Vehicles!$C$8,DW$5+1,""))</f>
        <v/>
      </c>
      <c r="DY5" s="2" t="str">
        <f>IF(DX$5="","",IF(DX$5+1&lt;=Vehicles!$C$8,DX$5+1,""))</f>
        <v/>
      </c>
      <c r="DZ5" s="2" t="str">
        <f>IF(DY$5="","",IF(DY$5+1&lt;=Vehicles!$C$8,DY$5+1,""))</f>
        <v/>
      </c>
      <c r="EA5" s="2" t="str">
        <f>IF(DZ$5="","",IF(DZ$5+1&lt;=Vehicles!$C$8,DZ$5+1,""))</f>
        <v/>
      </c>
      <c r="EB5" s="2" t="str">
        <f>IF(EA$5="","",IF(EA$5+1&lt;=Vehicles!$C$8,EA$5+1,""))</f>
        <v/>
      </c>
      <c r="EC5" s="2" t="str">
        <f>IF(EB$5="","",IF(EB$5+1&lt;=Vehicles!$C$8,EB$5+1,""))</f>
        <v/>
      </c>
      <c r="ED5" s="2" t="str">
        <f>IF(EC$5="","",IF(EC$5+1&lt;=Vehicles!$C$8,EC$5+1,""))</f>
        <v/>
      </c>
      <c r="EE5" s="2" t="str">
        <f>IF(ED$5="","",IF(ED$5+1&lt;=Vehicles!$C$8,ED$5+1,""))</f>
        <v/>
      </c>
      <c r="EF5" s="2" t="str">
        <f>IF(EE$5="","",IF(EE$5+1&lt;=Vehicles!$C$8,EE$5+1,""))</f>
        <v/>
      </c>
      <c r="EG5" s="2" t="str">
        <f>IF(EF$5="","",IF(EF$5+1&lt;=Vehicles!$C$8,EF$5+1,""))</f>
        <v/>
      </c>
      <c r="EH5" s="2" t="str">
        <f>IF(EG$5="","",IF(EG$5+1&lt;=Vehicles!$C$8,EG$5+1,""))</f>
        <v/>
      </c>
      <c r="EI5" s="2" t="str">
        <f>IF(EH$5="","",IF(EH$5+1&lt;=Vehicles!$C$8,EH$5+1,""))</f>
        <v/>
      </c>
      <c r="EJ5" s="2" t="str">
        <f>IF(EI$5="","",IF(EI$5+1&lt;=Vehicles!$C$8,EI$5+1,""))</f>
        <v/>
      </c>
      <c r="EK5" s="2" t="str">
        <f>IF(EJ$5="","",IF(EJ$5+1&lt;=Vehicles!$C$8,EJ$5+1,""))</f>
        <v/>
      </c>
      <c r="EL5" s="2" t="str">
        <f>IF(EK$5="","",IF(EK$5+1&lt;=Vehicles!$C$8,EK$5+1,""))</f>
        <v/>
      </c>
      <c r="EM5" s="2" t="str">
        <f>IF(EL$5="","",IF(EL$5+1&lt;=Vehicles!$C$8,EL$5+1,""))</f>
        <v/>
      </c>
      <c r="EN5" s="2" t="str">
        <f>IF(EM$5="","",IF(EM$5+1&lt;=Vehicles!$C$8,EM$5+1,""))</f>
        <v/>
      </c>
      <c r="EO5" s="2" t="str">
        <f>IF(EN$5="","",IF(EN$5+1&lt;=Vehicles!$C$8,EN$5+1,""))</f>
        <v/>
      </c>
      <c r="EP5" s="2" t="str">
        <f>IF(EO$5="","",IF(EO$5+1&lt;=Vehicles!$C$8,EO$5+1,""))</f>
        <v/>
      </c>
      <c r="EQ5" s="2" t="str">
        <f>IF(EP$5="","",IF(EP$5+1&lt;=Vehicles!$C$8,EP$5+1,""))</f>
        <v/>
      </c>
      <c r="ER5" s="2" t="str">
        <f>IF(EQ$5="","",IF(EQ$5+1&lt;=Vehicles!$C$8,EQ$5+1,""))</f>
        <v/>
      </c>
      <c r="ES5" s="2" t="str">
        <f>IF(ER$5="","",IF(ER$5+1&lt;=Vehicles!$C$8,ER$5+1,""))</f>
        <v/>
      </c>
      <c r="ET5" s="2" t="str">
        <f>IF(ES$5="","",IF(ES$5+1&lt;=Vehicles!$C$8,ES$5+1,""))</f>
        <v/>
      </c>
      <c r="EU5" s="2" t="str">
        <f>IF(ET$5="","",IF(ET$5+1&lt;=Vehicles!$C$8,ET$5+1,""))</f>
        <v/>
      </c>
      <c r="EV5" s="2" t="str">
        <f>IF(EU$5="","",IF(EU$5+1&lt;=Vehicles!$C$8,EU$5+1,""))</f>
        <v/>
      </c>
      <c r="EW5" s="2" t="str">
        <f>IF(EV$5="","",IF(EV$5+1&lt;=Vehicles!$C$8,EV$5+1,""))</f>
        <v/>
      </c>
      <c r="EX5" s="2" t="str">
        <f>IF(EW$5="","",IF(EW$5+1&lt;=Vehicles!$C$8,EW$5+1,""))</f>
        <v/>
      </c>
      <c r="EY5" s="2" t="str">
        <f>IF(EX$5="","",IF(EX$5+1&lt;=Vehicles!$C$8,EX$5+1,""))</f>
        <v/>
      </c>
      <c r="EZ5" s="2" t="str">
        <f>IF(EY$5="","",IF(EY$5+1&lt;=Vehicles!$C$8,EY$5+1,""))</f>
        <v/>
      </c>
      <c r="FA5" s="2" t="str">
        <f>IF(EZ$5="","",IF(EZ$5+1&lt;=Vehicles!$C$8,EZ$5+1,""))</f>
        <v/>
      </c>
      <c r="FB5" s="2" t="str">
        <f>IF(FA$5="","",IF(FA$5+1&lt;=Vehicles!$C$8,FA$5+1,""))</f>
        <v/>
      </c>
      <c r="FC5" s="2" t="str">
        <f>IF(FB$5="","",IF(FB$5+1&lt;=Vehicles!$C$8,FB$5+1,""))</f>
        <v/>
      </c>
      <c r="FD5" s="2" t="str">
        <f>IF(FC$5="","",IF(FC$5+1&lt;=Vehicles!$C$8,FC$5+1,""))</f>
        <v/>
      </c>
      <c r="FE5" s="2" t="str">
        <f>IF(FD$5="","",IF(FD$5+1&lt;=Vehicles!$C$8,FD$5+1,""))</f>
        <v/>
      </c>
      <c r="FF5" s="2" t="str">
        <f>IF(FE$5="","",IF(FE$5+1&lt;=Vehicles!$C$8,FE$5+1,""))</f>
        <v/>
      </c>
      <c r="FG5" s="2" t="str">
        <f>IF(FF$5="","",IF(FF$5+1&lt;=Vehicles!$C$8,FF$5+1,""))</f>
        <v/>
      </c>
      <c r="FH5" s="2" t="str">
        <f>IF(FG$5="","",IF(FG$5+1&lt;=Vehicles!$C$8,FG$5+1,""))</f>
        <v/>
      </c>
      <c r="FI5" s="2" t="str">
        <f>IF(FH$5="","",IF(FH$5+1&lt;=Vehicles!$C$8,FH$5+1,""))</f>
        <v/>
      </c>
      <c r="FJ5" s="2" t="str">
        <f>IF(FI$5="","",IF(FI$5+1&lt;=Vehicles!$C$8,FI$5+1,""))</f>
        <v/>
      </c>
      <c r="FK5" s="2" t="str">
        <f>IF(FJ$5="","",IF(FJ$5+1&lt;=Vehicles!$C$8,FJ$5+1,""))</f>
        <v/>
      </c>
      <c r="FL5" s="2" t="str">
        <f>IF(FK$5="","",IF(FK$5+1&lt;=Vehicles!$C$8,FK$5+1,""))</f>
        <v/>
      </c>
      <c r="FM5" s="2" t="str">
        <f>IF(FL$5="","",IF(FL$5+1&lt;=Vehicles!$C$8,FL$5+1,""))</f>
        <v/>
      </c>
      <c r="FN5" s="2" t="str">
        <f>IF(FM$5="","",IF(FM$5+1&lt;=Vehicles!$C$8,FM$5+1,""))</f>
        <v/>
      </c>
      <c r="FO5" s="2" t="str">
        <f>IF(FN$5="","",IF(FN$5+1&lt;=Vehicles!$C$8,FN$5+1,""))</f>
        <v/>
      </c>
      <c r="FP5" s="2" t="str">
        <f>IF(FO$5="","",IF(FO$5+1&lt;=Vehicles!$C$8,FO$5+1,""))</f>
        <v/>
      </c>
      <c r="FQ5" s="2" t="str">
        <f>IF(FP$5="","",IF(FP$5+1&lt;=Vehicles!$C$8,FP$5+1,""))</f>
        <v/>
      </c>
      <c r="FR5" s="2" t="str">
        <f>IF(FQ$5="","",IF(FQ$5+1&lt;=Vehicles!$C$8,FQ$5+1,""))</f>
        <v/>
      </c>
      <c r="FS5" s="2" t="str">
        <f>IF(FR$5="","",IF(FR$5+1&lt;=Vehicles!$C$8,FR$5+1,""))</f>
        <v/>
      </c>
      <c r="FT5" s="2" t="str">
        <f>IF(FS$5="","",IF(FS$5+1&lt;=Vehicles!$C$8,FS$5+1,""))</f>
        <v/>
      </c>
      <c r="FU5" s="2" t="str">
        <f>IF(FT$5="","",IF(FT$5+1&lt;=Vehicles!$C$8,FT$5+1,""))</f>
        <v/>
      </c>
      <c r="FV5" s="2" t="str">
        <f>IF(FU$5="","",IF(FU$5+1&lt;=Vehicles!$C$8,FU$5+1,""))</f>
        <v/>
      </c>
      <c r="FW5" s="2" t="str">
        <f>IF(FV$5="","",IF(FV$5+1&lt;=Vehicles!$C$8,FV$5+1,""))</f>
        <v/>
      </c>
      <c r="FX5" s="2" t="str">
        <f>IF(FW$5="","",IF(FW$5+1&lt;=Vehicles!$C$8,FW$5+1,""))</f>
        <v/>
      </c>
      <c r="FY5" s="2" t="str">
        <f>IF(FX$5="","",IF(FX$5+1&lt;=Vehicles!$C$8,FX$5+1,""))</f>
        <v/>
      </c>
      <c r="FZ5" s="2" t="str">
        <f>IF(FY$5="","",IF(FY$5+1&lt;=Vehicles!$C$8,FY$5+1,""))</f>
        <v/>
      </c>
      <c r="GA5" s="2" t="str">
        <f>IF(FZ$5="","",IF(FZ$5+1&lt;=Vehicles!$C$8,FZ$5+1,""))</f>
        <v/>
      </c>
      <c r="GB5" s="2" t="str">
        <f>IF(GA$5="","",IF(GA$5+1&lt;=Vehicles!$C$8,GA$5+1,""))</f>
        <v/>
      </c>
      <c r="GC5" s="2" t="str">
        <f>IF(GB$5="","",IF(GB$5+1&lt;=Vehicles!$C$8,GB$5+1,""))</f>
        <v/>
      </c>
      <c r="GD5" s="2" t="str">
        <f>IF(GC$5="","",IF(GC$5+1&lt;=Vehicles!$C$8,GC$5+1,""))</f>
        <v/>
      </c>
      <c r="GE5" s="2" t="str">
        <f>IF(GD$5="","",IF(GD$5+1&lt;=Vehicles!$C$8,GD$5+1,""))</f>
        <v/>
      </c>
      <c r="GF5" s="2" t="str">
        <f>IF(GE$5="","",IF(GE$5+1&lt;=Vehicles!$C$8,GE$5+1,""))</f>
        <v/>
      </c>
      <c r="GG5" s="2" t="str">
        <f>IF(GF$5="","",IF(GF$5+1&lt;=Vehicles!$C$8,GF$5+1,""))</f>
        <v/>
      </c>
      <c r="GH5" s="2" t="str">
        <f>IF(GG$5="","",IF(GG$5+1&lt;=Vehicles!$C$8,GG$5+1,""))</f>
        <v/>
      </c>
      <c r="GI5" s="2" t="str">
        <f>IF(GH$5="","",IF(GH$5+1&lt;=Vehicles!$C$8,GH$5+1,""))</f>
        <v/>
      </c>
      <c r="GJ5" s="2" t="str">
        <f>IF(GI$5="","",IF(GI$5+1&lt;=Vehicles!$C$8,GI$5+1,""))</f>
        <v/>
      </c>
      <c r="GK5" s="2" t="str">
        <f>IF(GJ$5="","",IF(GJ$5+1&lt;=Vehicles!$C$8,GJ$5+1,""))</f>
        <v/>
      </c>
      <c r="GL5" s="2" t="str">
        <f>IF(GK$5="","",IF(GK$5+1&lt;=Vehicles!$C$8,GK$5+1,""))</f>
        <v/>
      </c>
      <c r="GM5" s="2" t="str">
        <f>IF(GL$5="","",IF(GL$5+1&lt;=Vehicles!$C$8,GL$5+1,""))</f>
        <v/>
      </c>
      <c r="GN5" s="2" t="str">
        <f>IF(GM$5="","",IF(GM$5+1&lt;=Vehicles!$C$8,GM$5+1,""))</f>
        <v/>
      </c>
      <c r="GO5" s="2" t="str">
        <f>IF(GN$5="","",IF(GN$5+1&lt;=Vehicles!$C$8,GN$5+1,""))</f>
        <v/>
      </c>
      <c r="GP5" s="2" t="str">
        <f>IF(GO$5="","",IF(GO$5+1&lt;=Vehicles!$C$8,GO$5+1,""))</f>
        <v/>
      </c>
      <c r="GQ5" s="2" t="str">
        <f>IF(GP$5="","",IF(GP$5+1&lt;=Vehicles!$C$8,GP$5+1,""))</f>
        <v/>
      </c>
      <c r="GR5" s="2" t="str">
        <f>IF(GQ$5="","",IF(GQ$5+1&lt;=Vehicles!$C$8,GQ$5+1,""))</f>
        <v/>
      </c>
      <c r="GS5" s="2" t="str">
        <f>IF(GR$5="","",IF(GR$5+1&lt;=Vehicles!$C$8,GR$5+1,""))</f>
        <v/>
      </c>
      <c r="GT5" s="2" t="str">
        <f>IF(GS$5="","",IF(GS$5+1&lt;=Vehicles!$C$8,GS$5+1,""))</f>
        <v/>
      </c>
      <c r="GU5" s="2" t="str">
        <f>IF(GT$5="","",IF(GT$5+1&lt;=Vehicles!$C$8,GT$5+1,""))</f>
        <v/>
      </c>
      <c r="GV5" s="2" t="str">
        <f>IF(GU$5="","",IF(GU$5+1&lt;=Vehicles!$C$8,GU$5+1,""))</f>
        <v/>
      </c>
      <c r="GW5" s="2" t="str">
        <f>IF(GV$5="","",IF(GV$5+1&lt;=Vehicles!$C$8,GV$5+1,""))</f>
        <v/>
      </c>
      <c r="GX5" s="2" t="str">
        <f>IF(GW$5="","",IF(GW$5+1&lt;=Vehicles!$C$8,GW$5+1,""))</f>
        <v/>
      </c>
      <c r="GY5" s="2" t="str">
        <f>IF(GX$5="","",IF(GX$5+1&lt;=Vehicles!$C$8,GX$5+1,""))</f>
        <v/>
      </c>
      <c r="GZ5" s="2" t="str">
        <f>IF(GY$5="","",IF(GY$5+1&lt;=Vehicles!$C$8,GY$5+1,""))</f>
        <v/>
      </c>
      <c r="HA5" s="2" t="str">
        <f>IF(GZ$5="","",IF(GZ$5+1&lt;=Vehicles!$C$8,GZ$5+1,""))</f>
        <v/>
      </c>
      <c r="HB5" s="2" t="str">
        <f>IF(HA$5="","",IF(HA$5+1&lt;=Vehicles!$C$8,HA$5+1,""))</f>
        <v/>
      </c>
      <c r="HC5" s="2" t="str">
        <f>IF(HB$5="","",IF(HB$5+1&lt;=Vehicles!$C$8,HB$5+1,""))</f>
        <v/>
      </c>
      <c r="HD5" s="2" t="str">
        <f>IF(HC$5="","",IF(HC$5+1&lt;=Vehicles!$C$8,HC$5+1,""))</f>
        <v/>
      </c>
      <c r="HE5" s="2" t="str">
        <f>IF(HD$5="","",IF(HD$5+1&lt;=Vehicles!$C$8,HD$5+1,""))</f>
        <v/>
      </c>
      <c r="HF5" s="2" t="str">
        <f>IF(HE$5="","",IF(HE$5+1&lt;=Vehicles!$C$8,HE$5+1,""))</f>
        <v/>
      </c>
      <c r="HG5" s="2" t="str">
        <f>IF(HF$5="","",IF(HF$5+1&lt;=Vehicles!$C$8,HF$5+1,""))</f>
        <v/>
      </c>
      <c r="HH5" s="2" t="str">
        <f>IF(HG$5="","",IF(HG$5+1&lt;=Vehicles!$C$8,HG$5+1,""))</f>
        <v/>
      </c>
      <c r="HI5" s="2" t="str">
        <f>IF(HH$5="","",IF(HH$5+1&lt;=Vehicles!$C$8,HH$5+1,""))</f>
        <v/>
      </c>
      <c r="HJ5" s="2" t="str">
        <f>IF(HI$5="","",IF(HI$5+1&lt;=Vehicles!$C$8,HI$5+1,""))</f>
        <v/>
      </c>
      <c r="HK5" s="2" t="str">
        <f>IF(HJ$5="","",IF(HJ$5+1&lt;=Vehicles!$C$8,HJ$5+1,""))</f>
        <v/>
      </c>
      <c r="HL5" s="2" t="str">
        <f>IF(HK$5="","",IF(HK$5+1&lt;=Vehicles!$C$8,HK$5+1,""))</f>
        <v/>
      </c>
      <c r="HM5" s="2" t="str">
        <f>IF(HL$5="","",IF(HL$5+1&lt;=Vehicles!$C$8,HL$5+1,""))</f>
        <v/>
      </c>
      <c r="HN5" s="2" t="str">
        <f>IF(HM$5="","",IF(HM$5+1&lt;=Vehicles!$C$8,HM$5+1,""))</f>
        <v/>
      </c>
      <c r="HO5" s="2" t="str">
        <f>IF(HN$5="","",IF(HN$5+1&lt;=Vehicles!$C$8,HN$5+1,""))</f>
        <v/>
      </c>
      <c r="HP5" s="2" t="str">
        <f>IF(HO$5="","",IF(HO$5+1&lt;=Vehicles!$C$8,HO$5+1,""))</f>
        <v/>
      </c>
      <c r="HQ5" s="2" t="str">
        <f>IF(HP$5="","",IF(HP$5+1&lt;=Vehicles!$C$8,HP$5+1,""))</f>
        <v/>
      </c>
      <c r="HR5" s="2" t="str">
        <f>IF(HQ$5="","",IF(HQ$5+1&lt;=Vehicles!$C$8,HQ$5+1,""))</f>
        <v/>
      </c>
      <c r="HS5" s="2" t="str">
        <f>IF(HR$5="","",IF(HR$5+1&lt;=Vehicles!$C$8,HR$5+1,""))</f>
        <v/>
      </c>
      <c r="HT5" s="2" t="str">
        <f>IF(HS$5="","",IF(HS$5+1&lt;=Vehicles!$C$8,HS$5+1,""))</f>
        <v/>
      </c>
      <c r="HU5" s="2" t="str">
        <f>IF(HT$5="","",IF(HT$5+1&lt;=Vehicles!$C$8,HT$5+1,""))</f>
        <v/>
      </c>
      <c r="HV5" s="2" t="str">
        <f>IF(HU$5="","",IF(HU$5+1&lt;=Vehicles!$C$8,HU$5+1,""))</f>
        <v/>
      </c>
      <c r="HW5" s="2" t="str">
        <f>IF(HV$5="","",IF(HV$5+1&lt;=Vehicles!$C$8,HV$5+1,""))</f>
        <v/>
      </c>
      <c r="HX5" s="2" t="str">
        <f>IF(HW$5="","",IF(HW$5+1&lt;=Vehicles!$C$8,HW$5+1,""))</f>
        <v/>
      </c>
      <c r="HY5" s="2" t="str">
        <f>IF(HX$5="","",IF(HX$5+1&lt;=Vehicles!$C$8,HX$5+1,""))</f>
        <v/>
      </c>
      <c r="HZ5" s="2" t="str">
        <f>IF(HY$5="","",IF(HY$5+1&lt;=Vehicles!$C$8,HY$5+1,""))</f>
        <v/>
      </c>
      <c r="IA5" s="2" t="str">
        <f>IF(HZ$5="","",IF(HZ$5+1&lt;=Vehicles!$C$8,HZ$5+1,""))</f>
        <v/>
      </c>
      <c r="IB5" s="2" t="str">
        <f>IF(IA$5="","",IF(IA$5+1&lt;=Vehicles!$C$8,IA$5+1,""))</f>
        <v/>
      </c>
      <c r="IC5" s="2" t="str">
        <f>IF(IB$5="","",IF(IB$5+1&lt;=Vehicles!$C$8,IB$5+1,""))</f>
        <v/>
      </c>
      <c r="ID5" s="2" t="str">
        <f>IF(IC$5="","",IF(IC$5+1&lt;=Vehicles!$C$8,IC$5+1,""))</f>
        <v/>
      </c>
      <c r="IE5" s="2" t="str">
        <f>IF(ID$5="","",IF(ID$5+1&lt;=Vehicles!$C$8,ID$5+1,""))</f>
        <v/>
      </c>
      <c r="IF5" s="2" t="str">
        <f>IF(IE$5="","",IF(IE$5+1&lt;=Vehicles!$C$8,IE$5+1,""))</f>
        <v/>
      </c>
      <c r="IG5" s="2" t="str">
        <f>IF(IF$5="","",IF(IF$5+1&lt;=Vehicles!$C$8,IF$5+1,""))</f>
        <v/>
      </c>
      <c r="IH5" s="2" t="str">
        <f>IF(IG$5="","",IF(IG$5+1&lt;=Vehicles!$C$8,IG$5+1,""))</f>
        <v/>
      </c>
      <c r="II5" s="2" t="str">
        <f>IF(IH$5="","",IF(IH$5+1&lt;=Vehicles!$C$8,IH$5+1,""))</f>
        <v/>
      </c>
      <c r="IJ5" s="2" t="str">
        <f>IF(II$5="","",IF(II$5+1&lt;=Vehicles!$C$8,II$5+1,""))</f>
        <v/>
      </c>
      <c r="IK5" s="2" t="str">
        <f>IF(IJ$5="","",IF(IJ$5+1&lt;=Vehicles!$C$8,IJ$5+1,""))</f>
        <v/>
      </c>
      <c r="IL5" s="2" t="str">
        <f>IF(IK$5="","",IF(IK$5+1&lt;=Vehicles!$C$8,IK$5+1,""))</f>
        <v/>
      </c>
      <c r="IM5" s="2" t="str">
        <f>IF(IL$5="","",IF(IL$5+1&lt;=Vehicles!$C$8,IL$5+1,""))</f>
        <v/>
      </c>
      <c r="IN5" s="2" t="str">
        <f>IF(IM$5="","",IF(IM$5+1&lt;=Vehicles!$C$8,IM$5+1,""))</f>
        <v/>
      </c>
      <c r="IO5" s="2" t="str">
        <f>IF(IN$5="","",IF(IN$5+1&lt;=Vehicles!$C$8,IN$5+1,""))</f>
        <v/>
      </c>
      <c r="IP5" s="2" t="str">
        <f>IF(IO$5="","",IF(IO$5+1&lt;=Vehicles!$C$8,IO$5+1,""))</f>
        <v/>
      </c>
      <c r="IQ5" s="2" t="str">
        <f>IF(IP$5="","",IF(IP$5+1&lt;=Vehicles!$C$8,IP$5+1,""))</f>
        <v/>
      </c>
      <c r="IR5" s="2" t="str">
        <f>IF(IQ$5="","",IF(IQ$5+1&lt;=Vehicles!$C$8,IQ$5+1,""))</f>
        <v/>
      </c>
      <c r="IS5" s="2" t="str">
        <f>IF(IR$5="","",IF(IR$5+1&lt;=Vehicles!$C$8,IR$5+1,""))</f>
        <v/>
      </c>
      <c r="IT5" s="2" t="str">
        <f>IF(IS$5="","",IF(IS$5+1&lt;=Vehicles!$C$8,IS$5+1,""))</f>
        <v/>
      </c>
      <c r="IU5" s="2" t="str">
        <f>IF(IT$5="","",IF(IT$5+1&lt;=Vehicles!$C$8,IT$5+1,""))</f>
        <v/>
      </c>
      <c r="IV5" s="2" t="str">
        <f>IF(IU$5="","",IF(IU$5+1&lt;=Vehicles!$C$8,IU$5+1,""))</f>
        <v/>
      </c>
      <c r="IW5" s="2" t="str">
        <f>IF(IV$5="","",IF(IV$5+1&lt;=Vehicles!$C$8,IV$5+1,""))</f>
        <v/>
      </c>
      <c r="IX5" s="2" t="str">
        <f>IF(IW$5="","",IF(IW$5+1&lt;=Vehicles!$C$8,IW$5+1,""))</f>
        <v/>
      </c>
      <c r="IY5" s="2" t="str">
        <f>IF(IX$5="","",IF(IX$5+1&lt;=Vehicles!$C$8,IX$5+1,""))</f>
        <v/>
      </c>
      <c r="IZ5" s="2" t="str">
        <f>IF(IY$5="","",IF(IY$5+1&lt;=Vehicles!$C$8,IY$5+1,""))</f>
        <v/>
      </c>
      <c r="JA5" s="2" t="str">
        <f>IF(IZ$5="","",IF(IZ$5+1&lt;=Vehicles!$C$8,IZ$5+1,""))</f>
        <v/>
      </c>
      <c r="JB5" s="2" t="str">
        <f>IF(JA$5="","",IF(JA$5+1&lt;=Vehicles!$C$8,JA$5+1,""))</f>
        <v/>
      </c>
      <c r="JC5" s="2" t="str">
        <f>IF(JB$5="","",IF(JB$5+1&lt;=Vehicles!$C$8,JB$5+1,""))</f>
        <v/>
      </c>
      <c r="JD5" s="2" t="str">
        <f>IF(JC$5="","",IF(JC$5+1&lt;=Vehicles!$C$8,JC$5+1,""))</f>
        <v/>
      </c>
      <c r="JE5" s="2" t="str">
        <f>IF(JD$5="","",IF(JD$5+1&lt;=Vehicles!$C$8,JD$5+1,""))</f>
        <v/>
      </c>
      <c r="JF5" s="2" t="str">
        <f>IF(JE$5="","",IF(JE$5+1&lt;=Vehicles!$C$8,JE$5+1,""))</f>
        <v/>
      </c>
      <c r="JG5" s="2" t="str">
        <f>IF(JF$5="","",IF(JF$5+1&lt;=Vehicles!$C$8,JF$5+1,""))</f>
        <v/>
      </c>
      <c r="JH5" s="2" t="str">
        <f>IF(JG$5="","",IF(JG$5+1&lt;=Vehicles!$C$8,JG$5+1,""))</f>
        <v/>
      </c>
      <c r="JI5" s="2" t="str">
        <f>IF(JH$5="","",IF(JH$5+1&lt;=Vehicles!$C$8,JH$5+1,""))</f>
        <v/>
      </c>
      <c r="JJ5" s="2" t="str">
        <f>IF(JI$5="","",IF(JI$5+1&lt;=Vehicles!$C$8,JI$5+1,""))</f>
        <v/>
      </c>
      <c r="JK5" s="2" t="str">
        <f>IF(JJ$5="","",IF(JJ$5+1&lt;=Vehicles!$C$8,JJ$5+1,""))</f>
        <v/>
      </c>
      <c r="JL5" s="2" t="str">
        <f>IF(JK$5="","",IF(JK$5+1&lt;=Vehicles!$C$8,JK$5+1,""))</f>
        <v/>
      </c>
      <c r="JM5" s="2" t="str">
        <f>IF(JL$5="","",IF(JL$5+1&lt;=Vehicles!$C$8,JL$5+1,""))</f>
        <v/>
      </c>
      <c r="JN5" s="2" t="str">
        <f>IF(JM$5="","",IF(JM$5+1&lt;=Vehicles!$C$8,JM$5+1,""))</f>
        <v/>
      </c>
      <c r="JO5" s="2" t="str">
        <f>IF(JN$5="","",IF(JN$5+1&lt;=Vehicles!$C$8,JN$5+1,""))</f>
        <v/>
      </c>
      <c r="JP5" s="2" t="str">
        <f>IF(JO$5="","",IF(JO$5+1&lt;=Vehicles!$C$8,JO$5+1,""))</f>
        <v/>
      </c>
      <c r="JQ5" s="2" t="str">
        <f>IF(JP$5="","",IF(JP$5+1&lt;=Vehicles!$C$8,JP$5+1,""))</f>
        <v/>
      </c>
      <c r="JR5" s="2" t="str">
        <f>IF(JQ$5="","",IF(JQ$5+1&lt;=Vehicles!$C$8,JQ$5+1,""))</f>
        <v/>
      </c>
      <c r="JS5" s="2" t="str">
        <f>IF(JR$5="","",IF(JR$5+1&lt;=Vehicles!$C$8,JR$5+1,""))</f>
        <v/>
      </c>
      <c r="JT5" s="2" t="str">
        <f>IF(JS$5="","",IF(JS$5+1&lt;=Vehicles!$C$8,JS$5+1,""))</f>
        <v/>
      </c>
      <c r="JU5" s="2" t="str">
        <f>IF(JT$5="","",IF(JT$5+1&lt;=Vehicles!$C$8,JT$5+1,""))</f>
        <v/>
      </c>
      <c r="JV5" s="2" t="str">
        <f>IF(JU$5="","",IF(JU$5+1&lt;=Vehicles!$C$8,JU$5+1,""))</f>
        <v/>
      </c>
      <c r="JW5" s="2" t="str">
        <f>IF(JV$5="","",IF(JV$5+1&lt;=Vehicles!$C$8,JV$5+1,""))</f>
        <v/>
      </c>
      <c r="JX5" s="2" t="str">
        <f>IF(JW$5="","",IF(JW$5+1&lt;=Vehicles!$C$8,JW$5+1,""))</f>
        <v/>
      </c>
      <c r="JY5" s="2" t="str">
        <f>IF(JX$5="","",IF(JX$5+1&lt;=Vehicles!$C$8,JX$5+1,""))</f>
        <v/>
      </c>
      <c r="JZ5" s="2" t="str">
        <f>IF(JY$5="","",IF(JY$5+1&lt;=Vehicles!$C$8,JY$5+1,""))</f>
        <v/>
      </c>
      <c r="KA5" s="2" t="str">
        <f>IF(JZ$5="","",IF(JZ$5+1&lt;=Vehicles!$C$8,JZ$5+1,""))</f>
        <v/>
      </c>
      <c r="KB5" s="2" t="str">
        <f>IF(KA$5="","",IF(KA$5+1&lt;=Vehicles!$C$8,KA$5+1,""))</f>
        <v/>
      </c>
      <c r="KC5" s="2" t="str">
        <f>IF(KB$5="","",IF(KB$5+1&lt;=Vehicles!$C$8,KB$5+1,""))</f>
        <v/>
      </c>
      <c r="KD5" s="2" t="str">
        <f>IF(KC$5="","",IF(KC$5+1&lt;=Vehicles!$C$8,KC$5+1,""))</f>
        <v/>
      </c>
      <c r="KE5" s="2" t="str">
        <f>IF(KD$5="","",IF(KD$5+1&lt;=Vehicles!$C$8,KD$5+1,""))</f>
        <v/>
      </c>
      <c r="KF5" s="2" t="str">
        <f>IF(KE$5="","",IF(KE$5+1&lt;=Vehicles!$C$8,KE$5+1,""))</f>
        <v/>
      </c>
      <c r="KG5" s="2" t="str">
        <f>IF(KF$5="","",IF(KF$5+1&lt;=Vehicles!$C$8,KF$5+1,""))</f>
        <v/>
      </c>
      <c r="KH5" s="2" t="str">
        <f>IF(KG$5="","",IF(KG$5+1&lt;=Vehicles!$C$8,KG$5+1,""))</f>
        <v/>
      </c>
      <c r="KI5" s="2" t="str">
        <f>IF(KH$5="","",IF(KH$5+1&lt;=Vehicles!$C$8,KH$5+1,""))</f>
        <v/>
      </c>
      <c r="KJ5" s="2" t="str">
        <f>IF(KI$5="","",IF(KI$5+1&lt;=Vehicles!$C$8,KI$5+1,""))</f>
        <v/>
      </c>
      <c r="KK5" s="2" t="str">
        <f>IF(KJ$5="","",IF(KJ$5+1&lt;=Vehicles!$C$8,KJ$5+1,""))</f>
        <v/>
      </c>
      <c r="KL5" s="2" t="str">
        <f>IF(KK$5="","",IF(KK$5+1&lt;=Vehicles!$C$8,KK$5+1,""))</f>
        <v/>
      </c>
      <c r="KM5" s="2" t="str">
        <f>IF(KL$5="","",IF(KL$5+1&lt;=Vehicles!$C$8,KL$5+1,""))</f>
        <v/>
      </c>
      <c r="KN5" s="2" t="str">
        <f>IF(KM$5="","",IF(KM$5+1&lt;=Vehicles!$C$8,KM$5+1,""))</f>
        <v/>
      </c>
      <c r="KO5" s="2" t="str">
        <f>IF(KN$5="","",IF(KN$5+1&lt;=Vehicles!$C$8,KN$5+1,""))</f>
        <v/>
      </c>
      <c r="KP5" s="2" t="str">
        <f>IF(KO$5="","",IF(KO$5+1&lt;=Vehicles!$C$8,KO$5+1,""))</f>
        <v/>
      </c>
      <c r="KQ5" s="2" t="str">
        <f>IF(KP$5="","",IF(KP$5+1&lt;=Vehicles!$C$8,KP$5+1,""))</f>
        <v/>
      </c>
      <c r="KR5" s="2" t="str">
        <f>IF(KQ$5="","",IF(KQ$5+1&lt;=Vehicles!$C$8,KQ$5+1,""))</f>
        <v/>
      </c>
      <c r="KS5" s="2" t="str">
        <f>IF(KR$5="","",IF(KR$5+1&lt;=Vehicles!$C$8,KR$5+1,""))</f>
        <v/>
      </c>
      <c r="KT5" s="2" t="str">
        <f>IF(KS$5="","",IF(KS$5+1&lt;=Vehicles!$C$8,KS$5+1,""))</f>
        <v/>
      </c>
      <c r="KU5" s="2" t="str">
        <f>IF(KT$5="","",IF(KT$5+1&lt;=Vehicles!$C$8,KT$5+1,""))</f>
        <v/>
      </c>
      <c r="KV5" s="2" t="str">
        <f>IF(KU$5="","",IF(KU$5+1&lt;=Vehicles!$C$8,KU$5+1,""))</f>
        <v/>
      </c>
      <c r="KW5" s="2" t="str">
        <f>IF(KV$5="","",IF(KV$5+1&lt;=Vehicles!$C$8,KV$5+1,""))</f>
        <v/>
      </c>
      <c r="KX5" s="2" t="str">
        <f>IF(KW$5="","",IF(KW$5+1&lt;=Vehicles!$C$8,KW$5+1,""))</f>
        <v/>
      </c>
      <c r="KY5" s="2" t="str">
        <f>IF(KX$5="","",IF(KX$5+1&lt;=Vehicles!$C$8,KX$5+1,""))</f>
        <v/>
      </c>
      <c r="KZ5" s="2" t="str">
        <f>IF(KY$5="","",IF(KY$5+1&lt;=Vehicles!$C$8,KY$5+1,""))</f>
        <v/>
      </c>
      <c r="LA5" s="2" t="str">
        <f>IF(KZ$5="","",IF(KZ$5+1&lt;=Vehicles!$C$8,KZ$5+1,""))</f>
        <v/>
      </c>
      <c r="LB5" s="2" t="str">
        <f>IF(LA$5="","",IF(LA$5+1&lt;=Vehicles!$C$8,LA$5+1,""))</f>
        <v/>
      </c>
      <c r="LC5" s="2" t="str">
        <f>IF(LB$5="","",IF(LB$5+1&lt;=Vehicles!$C$8,LB$5+1,""))</f>
        <v/>
      </c>
      <c r="LD5" s="2" t="str">
        <f>IF(LC$5="","",IF(LC$5+1&lt;=Vehicles!$C$8,LC$5+1,""))</f>
        <v/>
      </c>
      <c r="LE5" s="2" t="str">
        <f>IF(LD$5="","",IF(LD$5+1&lt;=Vehicles!$C$8,LD$5+1,""))</f>
        <v/>
      </c>
      <c r="LF5" s="2" t="str">
        <f>IF(LE$5="","",IF(LE$5+1&lt;=Vehicles!$C$8,LE$5+1,""))</f>
        <v/>
      </c>
      <c r="LG5" s="2" t="str">
        <f>IF(LF$5="","",IF(LF$5+1&lt;=Vehicles!$C$8,LF$5+1,""))</f>
        <v/>
      </c>
      <c r="LH5" s="2" t="str">
        <f>IF(LG$5="","",IF(LG$5+1&lt;=Vehicles!$C$8,LG$5+1,""))</f>
        <v/>
      </c>
      <c r="LI5" s="2" t="str">
        <f>IF(LH$5="","",IF(LH$5+1&lt;=Vehicles!$C$8,LH$5+1,""))</f>
        <v/>
      </c>
      <c r="LJ5" s="2" t="str">
        <f>IF(LI$5="","",IF(LI$5+1&lt;=Vehicles!$C$8,LI$5+1,""))</f>
        <v/>
      </c>
      <c r="LK5" s="2" t="str">
        <f>IF(LJ$5="","",IF(LJ$5+1&lt;=Vehicles!$C$8,LJ$5+1,""))</f>
        <v/>
      </c>
      <c r="LL5" s="2" t="str">
        <f>IF(LK$5="","",IF(LK$5+1&lt;=Vehicles!$C$8,LK$5+1,""))</f>
        <v/>
      </c>
      <c r="LM5" s="2" t="str">
        <f>IF(LL$5="","",IF(LL$5+1&lt;=Vehicles!$C$8,LL$5+1,""))</f>
        <v/>
      </c>
      <c r="LN5" s="2" t="str">
        <f>IF(LM$5="","",IF(LM$5+1&lt;=Vehicles!$C$8,LM$5+1,""))</f>
        <v/>
      </c>
      <c r="LO5" s="2" t="str">
        <f>IF(LN$5="","",IF(LN$5+1&lt;=Vehicles!$C$8,LN$5+1,""))</f>
        <v/>
      </c>
      <c r="LP5" s="2" t="str">
        <f>IF(LO$5="","",IF(LO$5+1&lt;=Vehicles!$C$8,LO$5+1,""))</f>
        <v/>
      </c>
      <c r="LQ5" s="2" t="str">
        <f>IF(LP$5="","",IF(LP$5+1&lt;=Vehicles!$C$8,LP$5+1,""))</f>
        <v/>
      </c>
      <c r="LR5" s="2" t="str">
        <f>IF(LQ$5="","",IF(LQ$5+1&lt;=Vehicles!$C$8,LQ$5+1,""))</f>
        <v/>
      </c>
      <c r="LS5" s="2" t="str">
        <f>IF(LR$5="","",IF(LR$5+1&lt;=Vehicles!$C$8,LR$5+1,""))</f>
        <v/>
      </c>
      <c r="LT5" s="2" t="str">
        <f>IF(LS$5="","",IF(LS$5+1&lt;=Vehicles!$C$8,LS$5+1,""))</f>
        <v/>
      </c>
      <c r="LU5" s="2" t="str">
        <f>IF(LT$5="","",IF(LT$5+1&lt;=Vehicles!$C$8,LT$5+1,""))</f>
        <v/>
      </c>
      <c r="LV5" s="2" t="str">
        <f>IF(LU$5="","",IF(LU$5+1&lt;=Vehicles!$C$8,LU$5+1,""))</f>
        <v/>
      </c>
      <c r="LW5" s="2" t="str">
        <f>IF(LV$5="","",IF(LV$5+1&lt;=Vehicles!$C$8,LV$5+1,""))</f>
        <v/>
      </c>
      <c r="LX5" s="2" t="str">
        <f>IF(LW$5="","",IF(LW$5+1&lt;=Vehicles!$C$8,LW$5+1,""))</f>
        <v/>
      </c>
      <c r="LY5" s="2" t="str">
        <f>IF(LX$5="","",IF(LX$5+1&lt;=Vehicles!$C$8,LX$5+1,""))</f>
        <v/>
      </c>
      <c r="LZ5" s="2" t="str">
        <f>IF(LY$5="","",IF(LY$5+1&lt;=Vehicles!$C$8,LY$5+1,""))</f>
        <v/>
      </c>
      <c r="MA5" s="2" t="str">
        <f>IF(LZ$5="","",IF(LZ$5+1&lt;=Vehicles!$C$8,LZ$5+1,""))</f>
        <v/>
      </c>
      <c r="MB5" s="2" t="str">
        <f>IF(MA$5="","",IF(MA$5+1&lt;=Vehicles!$C$8,MA$5+1,""))</f>
        <v/>
      </c>
      <c r="MC5" s="2" t="str">
        <f>IF(MB$5="","",IF(MB$5+1&lt;=Vehicles!$C$8,MB$5+1,""))</f>
        <v/>
      </c>
      <c r="MD5" s="2" t="str">
        <f>IF(MC$5="","",IF(MC$5+1&lt;=Vehicles!$C$8,MC$5+1,""))</f>
        <v/>
      </c>
      <c r="ME5" s="2" t="str">
        <f>IF(MD$5="","",IF(MD$5+1&lt;=Vehicles!$C$8,MD$5+1,""))</f>
        <v/>
      </c>
      <c r="MF5" s="2" t="str">
        <f>IF(ME$5="","",IF(ME$5+1&lt;=Vehicles!$C$8,ME$5+1,""))</f>
        <v/>
      </c>
      <c r="MG5" s="2" t="str">
        <f>IF(MF$5="","",IF(MF$5+1&lt;=Vehicles!$C$8,MF$5+1,""))</f>
        <v/>
      </c>
      <c r="MH5" s="2" t="str">
        <f>IF(MG$5="","",IF(MG$5+1&lt;=Vehicles!$C$8,MG$5+1,""))</f>
        <v/>
      </c>
      <c r="MI5" s="2" t="str">
        <f>IF(MH$5="","",IF(MH$5+1&lt;=Vehicles!$C$8,MH$5+1,""))</f>
        <v/>
      </c>
      <c r="MJ5" s="2" t="str">
        <f>IF(MI$5="","",IF(MI$5+1&lt;=Vehicles!$C$8,MI$5+1,""))</f>
        <v/>
      </c>
      <c r="MK5" s="2" t="str">
        <f>IF(MJ$5="","",IF(MJ$5+1&lt;=Vehicles!$C$8,MJ$5+1,""))</f>
        <v/>
      </c>
      <c r="ML5" s="2" t="str">
        <f>IF(MK$5="","",IF(MK$5+1&lt;=Vehicles!$C$8,MK$5+1,""))</f>
        <v/>
      </c>
      <c r="MM5" s="2" t="str">
        <f>IF(ML$5="","",IF(ML$5+1&lt;=Vehicles!$C$8,ML$5+1,""))</f>
        <v/>
      </c>
      <c r="MN5" s="2" t="str">
        <f>IF(MM$5="","",IF(MM$5+1&lt;=Vehicles!$C$8,MM$5+1,""))</f>
        <v/>
      </c>
      <c r="MO5" s="2" t="str">
        <f>IF(MN$5="","",IF(MN$5+1&lt;=Vehicles!$C$8,MN$5+1,""))</f>
        <v/>
      </c>
      <c r="MP5" s="2" t="str">
        <f>IF(MO$5="","",IF(MO$5+1&lt;=Vehicles!$C$8,MO$5+1,""))</f>
        <v/>
      </c>
      <c r="MQ5" s="2" t="str">
        <f>IF(MP$5="","",IF(MP$5+1&lt;=Vehicles!$C$8,MP$5+1,""))</f>
        <v/>
      </c>
      <c r="MR5" s="2" t="str">
        <f>IF(MQ$5="","",IF(MQ$5+1&lt;=Vehicles!$C$8,MQ$5+1,""))</f>
        <v/>
      </c>
      <c r="MS5" s="2" t="str">
        <f>IF(MR$5="","",IF(MR$5+1&lt;=Vehicles!$C$8,MR$5+1,""))</f>
        <v/>
      </c>
      <c r="MT5" s="2" t="str">
        <f>IF(MS$5="","",IF(MS$5+1&lt;=Vehicles!$C$8,MS$5+1,""))</f>
        <v/>
      </c>
      <c r="MU5" s="2" t="str">
        <f>IF(MT$5="","",IF(MT$5+1&lt;=Vehicles!$C$8,MT$5+1,""))</f>
        <v/>
      </c>
      <c r="MV5" s="2" t="str">
        <f>IF(MU$5="","",IF(MU$5+1&lt;=Vehicles!$C$8,MU$5+1,""))</f>
        <v/>
      </c>
      <c r="MW5" s="2" t="str">
        <f>IF(MV$5="","",IF(MV$5+1&lt;=Vehicles!$C$8,MV$5+1,""))</f>
        <v/>
      </c>
      <c r="MX5" s="2" t="str">
        <f>IF(MW$5="","",IF(MW$5+1&lt;=Vehicles!$C$8,MW$5+1,""))</f>
        <v/>
      </c>
      <c r="MY5" s="2" t="str">
        <f>IF(MX$5="","",IF(MX$5+1&lt;=Vehicles!$C$8,MX$5+1,""))</f>
        <v/>
      </c>
      <c r="MZ5" s="2" t="str">
        <f>IF(MY$5="","",IF(MY$5+1&lt;=Vehicles!$C$8,MY$5+1,""))</f>
        <v/>
      </c>
      <c r="NA5" s="2" t="str">
        <f>IF(MZ$5="","",IF(MZ$5+1&lt;=Vehicles!$C$8,MZ$5+1,""))</f>
        <v/>
      </c>
      <c r="NB5" s="2" t="str">
        <f>IF(NA$5="","",IF(NA$5+1&lt;=Vehicles!$C$8,NA$5+1,""))</f>
        <v/>
      </c>
      <c r="NC5" s="2" t="str">
        <f>IF(NB$5="","",IF(NB$5+1&lt;=Vehicles!$C$8,NB$5+1,""))</f>
        <v/>
      </c>
      <c r="ND5" s="2" t="str">
        <f>IF(NC$5="","",IF(NC$5+1&lt;=Vehicles!$C$8,NC$5+1,""))</f>
        <v/>
      </c>
      <c r="NE5" s="2" t="str">
        <f>IF(ND$5="","",IF(ND$5+1&lt;=Vehicles!$C$8,ND$5+1,""))</f>
        <v/>
      </c>
      <c r="NF5" s="2" t="str">
        <f>IF(NE$5="","",IF(NE$5+1&lt;=Vehicles!$C$8,NE$5+1,""))</f>
        <v/>
      </c>
      <c r="NG5" s="2" t="str">
        <f>IF(NF$5="","",IF(NF$5+1&lt;=Vehicles!$C$8,NF$5+1,""))</f>
        <v/>
      </c>
      <c r="NH5" s="2" t="str">
        <f>IF(NG$5="","",IF(NG$5+1&lt;=Vehicles!$C$8,NG$5+1,""))</f>
        <v/>
      </c>
      <c r="NI5" s="2" t="str">
        <f>IF(NH$5="","",IF(NH$5+1&lt;=Vehicles!$C$8,NH$5+1,""))</f>
        <v/>
      </c>
      <c r="NJ5" s="2" t="str">
        <f>IF(NI$5="","",IF(NI$5+1&lt;=Vehicles!$C$8,NI$5+1,""))</f>
        <v/>
      </c>
      <c r="NK5" s="2" t="str">
        <f>IF(NJ$5="","",IF(NJ$5+1&lt;=Vehicles!$C$8,NJ$5+1,""))</f>
        <v/>
      </c>
      <c r="NL5" s="2" t="str">
        <f>IF(NK$5="","",IF(NK$5+1&lt;=Vehicles!$C$8,NK$5+1,""))</f>
        <v/>
      </c>
      <c r="NM5" s="2" t="str">
        <f>IF(NL$5="","",IF(NL$5+1&lt;=Vehicles!$C$8,NL$5+1,""))</f>
        <v/>
      </c>
      <c r="NN5" s="2" t="str">
        <f>IF(NM$5="","",IF(NM$5+1&lt;=Vehicles!$C$8,NM$5+1,""))</f>
        <v/>
      </c>
      <c r="NO5" s="2" t="str">
        <f>IF(NN$5="","",IF(NN$5+1&lt;=Vehicles!$C$8,NN$5+1,""))</f>
        <v/>
      </c>
      <c r="NP5" s="2" t="str">
        <f>IF(NO$5="","",IF(NO$5+1&lt;=Vehicles!$C$8,NO$5+1,""))</f>
        <v/>
      </c>
      <c r="NQ5" s="2" t="str">
        <f>IF(NP$5="","",IF(NP$5+1&lt;=Vehicles!$C$8,NP$5+1,""))</f>
        <v/>
      </c>
      <c r="NR5" s="2" t="str">
        <f>IF(NQ$5="","",IF(NQ$5+1&lt;=Vehicles!$C$8,NQ$5+1,""))</f>
        <v/>
      </c>
      <c r="NS5" s="2" t="str">
        <f>IF(NR$5="","",IF(NR$5+1&lt;=Vehicles!$C$8,NR$5+1,""))</f>
        <v/>
      </c>
      <c r="NT5" s="2" t="str">
        <f>IF(NS$5="","",IF(NS$5+1&lt;=Vehicles!$C$8,NS$5+1,""))</f>
        <v/>
      </c>
      <c r="NU5" s="2" t="str">
        <f>IF(NT$5="","",IF(NT$5+1&lt;=Vehicles!$C$8,NT$5+1,""))</f>
        <v/>
      </c>
      <c r="NV5" s="2" t="str">
        <f>IF(NU$5="","",IF(NU$5+1&lt;=Vehicles!$C$8,NU$5+1,""))</f>
        <v/>
      </c>
      <c r="NW5" s="2" t="str">
        <f>IF(NV$5="","",IF(NV$5+1&lt;=Vehicles!$C$8,NV$5+1,""))</f>
        <v/>
      </c>
      <c r="NX5" s="2" t="str">
        <f>IF(NW$5="","",IF(NW$5+1&lt;=Vehicles!$C$8,NW$5+1,""))</f>
        <v/>
      </c>
      <c r="NY5" s="2" t="str">
        <f>IF(NX$5="","",IF(NX$5+1&lt;=Vehicles!$C$8,NX$5+1,""))</f>
        <v/>
      </c>
      <c r="NZ5" s="2" t="str">
        <f>IF(NY$5="","",IF(NY$5+1&lt;=Vehicles!$C$8,NY$5+1,""))</f>
        <v/>
      </c>
      <c r="OA5" s="2" t="str">
        <f>IF(NZ$5="","",IF(NZ$5+1&lt;=Vehicles!$C$8,NZ$5+1,""))</f>
        <v/>
      </c>
      <c r="OB5" s="2" t="str">
        <f>IF(OA$5="","",IF(OA$5+1&lt;=Vehicles!$C$8,OA$5+1,""))</f>
        <v/>
      </c>
      <c r="OC5" s="2" t="str">
        <f>IF(OB$5="","",IF(OB$5+1&lt;=Vehicles!$C$8,OB$5+1,""))</f>
        <v/>
      </c>
      <c r="OD5" s="2" t="str">
        <f>IF(OC$5="","",IF(OC$5+1&lt;=Vehicles!$C$8,OC$5+1,""))</f>
        <v/>
      </c>
      <c r="OE5" s="2" t="str">
        <f>IF(OD$5="","",IF(OD$5+1&lt;=Vehicles!$C$8,OD$5+1,""))</f>
        <v/>
      </c>
      <c r="OF5" s="2" t="str">
        <f>IF(OE$5="","",IF(OE$5+1&lt;=Vehicles!$C$8,OE$5+1,""))</f>
        <v/>
      </c>
      <c r="OG5" s="2" t="str">
        <f>IF(OF$5="","",IF(OF$5+1&lt;=Vehicles!$C$8,OF$5+1,""))</f>
        <v/>
      </c>
      <c r="OH5" s="2" t="str">
        <f>IF(OG$5="","",IF(OG$5+1&lt;=Vehicles!$C$8,OG$5+1,""))</f>
        <v/>
      </c>
      <c r="OI5" s="2" t="str">
        <f>IF(OH$5="","",IF(OH$5+1&lt;=Vehicles!$C$8,OH$5+1,""))</f>
        <v/>
      </c>
      <c r="OJ5" s="2" t="str">
        <f>IF(OI$5="","",IF(OI$5+1&lt;=Vehicles!$C$8,OI$5+1,""))</f>
        <v/>
      </c>
      <c r="OK5" s="2" t="str">
        <f>IF(OJ$5="","",IF(OJ$5+1&lt;=Vehicles!$C$8,OJ$5+1,""))</f>
        <v/>
      </c>
      <c r="OL5" s="2" t="str">
        <f>IF(OK$5="","",IF(OK$5+1&lt;=Vehicles!$C$8,OK$5+1,""))</f>
        <v/>
      </c>
      <c r="OM5" s="2" t="str">
        <f>IF(OL$5="","",IF(OL$5+1&lt;=Vehicles!$C$8,OL$5+1,""))</f>
        <v/>
      </c>
      <c r="ON5" s="2" t="str">
        <f>IF(OM$5="","",IF(OM$5+1&lt;=Vehicles!$C$8,OM$5+1,""))</f>
        <v/>
      </c>
      <c r="OO5" s="2" t="str">
        <f>IF(ON$5="","",IF(ON$5+1&lt;=Vehicles!$C$8,ON$5+1,""))</f>
        <v/>
      </c>
      <c r="OP5" s="2" t="str">
        <f>IF(OO$5="","",IF(OO$5+1&lt;=Vehicles!$C$8,OO$5+1,""))</f>
        <v/>
      </c>
      <c r="OQ5" s="2" t="str">
        <f>IF(OP$5="","",IF(OP$5+1&lt;=Vehicles!$C$8,OP$5+1,""))</f>
        <v/>
      </c>
      <c r="OR5" s="2" t="str">
        <f>IF(OQ$5="","",IF(OQ$5+1&lt;=Vehicles!$C$8,OQ$5+1,""))</f>
        <v/>
      </c>
      <c r="OS5" s="2" t="str">
        <f>IF(OR$5="","",IF(OR$5+1&lt;=Vehicles!$C$8,OR$5+1,""))</f>
        <v/>
      </c>
      <c r="OT5" s="2" t="str">
        <f>IF(OS$5="","",IF(OS$5+1&lt;=Vehicles!$C$8,OS$5+1,""))</f>
        <v/>
      </c>
      <c r="OU5" s="2" t="str">
        <f>IF(OT$5="","",IF(OT$5+1&lt;=Vehicles!$C$8,OT$5+1,""))</f>
        <v/>
      </c>
      <c r="OV5" s="2" t="str">
        <f>IF(OU$5="","",IF(OU$5+1&lt;=Vehicles!$C$8,OU$5+1,""))</f>
        <v/>
      </c>
      <c r="OW5" s="2" t="str">
        <f>IF(OV$5="","",IF(OV$5+1&lt;=Vehicles!$C$8,OV$5+1,""))</f>
        <v/>
      </c>
      <c r="OX5" s="2" t="str">
        <f>IF(OW$5="","",IF(OW$5+1&lt;=Vehicles!$C$8,OW$5+1,""))</f>
        <v/>
      </c>
      <c r="OY5" s="2" t="str">
        <f>IF(OX$5="","",IF(OX$5+1&lt;=Vehicles!$C$8,OX$5+1,""))</f>
        <v/>
      </c>
      <c r="OZ5" s="2" t="str">
        <f>IF(OY$5="","",IF(OY$5+1&lt;=Vehicles!$C$8,OY$5+1,""))</f>
        <v/>
      </c>
      <c r="PA5" s="2" t="str">
        <f>IF(OZ$5="","",IF(OZ$5+1&lt;=Vehicles!$C$8,OZ$5+1,""))</f>
        <v/>
      </c>
      <c r="PB5" s="2" t="str">
        <f>IF(PA$5="","",IF(PA$5+1&lt;=Vehicles!$C$8,PA$5+1,""))</f>
        <v/>
      </c>
      <c r="PC5" s="2" t="str">
        <f>IF(PB$5="","",IF(PB$5+1&lt;=Vehicles!$C$8,PB$5+1,""))</f>
        <v/>
      </c>
      <c r="PD5" s="2" t="str">
        <f>IF(PC$5="","",IF(PC$5+1&lt;=Vehicles!$C$8,PC$5+1,""))</f>
        <v/>
      </c>
      <c r="PE5" s="2" t="str">
        <f>IF(PD$5="","",IF(PD$5+1&lt;=Vehicles!$C$8,PD$5+1,""))</f>
        <v/>
      </c>
      <c r="PF5" s="2" t="str">
        <f>IF(PE$5="","",IF(PE$5+1&lt;=Vehicles!$C$8,PE$5+1,""))</f>
        <v/>
      </c>
      <c r="PG5" s="2" t="str">
        <f>IF(PF$5="","",IF(PF$5+1&lt;=Vehicles!$C$8,PF$5+1,""))</f>
        <v/>
      </c>
      <c r="PH5" s="2" t="str">
        <f>IF(PG$5="","",IF(PG$5+1&lt;=Vehicles!$C$8,PG$5+1,""))</f>
        <v/>
      </c>
      <c r="PI5" s="2" t="str">
        <f>IF(PH$5="","",IF(PH$5+1&lt;=Vehicles!$C$8,PH$5+1,""))</f>
        <v/>
      </c>
      <c r="PJ5" s="2" t="str">
        <f>IF(PI$5="","",IF(PI$5+1&lt;=Vehicles!$C$8,PI$5+1,""))</f>
        <v/>
      </c>
      <c r="PK5" s="2" t="str">
        <f>IF(PJ$5="","",IF(PJ$5+1&lt;=Vehicles!$C$8,PJ$5+1,""))</f>
        <v/>
      </c>
      <c r="PL5" s="2" t="str">
        <f>IF(PK$5="","",IF(PK$5+1&lt;=Vehicles!$C$8,PK$5+1,""))</f>
        <v/>
      </c>
      <c r="PM5" s="2" t="str">
        <f>IF(PL$5="","",IF(PL$5+1&lt;=Vehicles!$C$8,PL$5+1,""))</f>
        <v/>
      </c>
      <c r="PN5" s="2" t="str">
        <f>IF(PM$5="","",IF(PM$5+1&lt;=Vehicles!$C$8,PM$5+1,""))</f>
        <v/>
      </c>
      <c r="PO5" s="2" t="str">
        <f>IF(PN$5="","",IF(PN$5+1&lt;=Vehicles!$C$8,PN$5+1,""))</f>
        <v/>
      </c>
      <c r="PP5" s="2" t="str">
        <f>IF(PO$5="","",IF(PO$5+1&lt;=Vehicles!$C$8,PO$5+1,""))</f>
        <v/>
      </c>
      <c r="PQ5" s="2" t="str">
        <f>IF(PP$5="","",IF(PP$5+1&lt;=Vehicles!$C$8,PP$5+1,""))</f>
        <v/>
      </c>
      <c r="PR5" s="2" t="str">
        <f>IF(PQ$5="","",IF(PQ$5+1&lt;=Vehicles!$C$8,PQ$5+1,""))</f>
        <v/>
      </c>
      <c r="PS5" s="2" t="str">
        <f>IF(PR$5="","",IF(PR$5+1&lt;=Vehicles!$C$8,PR$5+1,""))</f>
        <v/>
      </c>
      <c r="PT5" s="2" t="str">
        <f>IF(PS$5="","",IF(PS$5+1&lt;=Vehicles!$C$8,PS$5+1,""))</f>
        <v/>
      </c>
      <c r="PU5" s="2" t="str">
        <f>IF(PT$5="","",IF(PT$5+1&lt;=Vehicles!$C$8,PT$5+1,""))</f>
        <v/>
      </c>
      <c r="PV5" s="2" t="str">
        <f>IF(PU$5="","",IF(PU$5+1&lt;=Vehicles!$C$8,PU$5+1,""))</f>
        <v/>
      </c>
      <c r="PW5" s="2" t="str">
        <f>IF(PV$5="","",IF(PV$5+1&lt;=Vehicles!$C$8,PV$5+1,""))</f>
        <v/>
      </c>
      <c r="PX5" s="2" t="str">
        <f>IF(PW$5="","",IF(PW$5+1&lt;=Vehicles!$C$8,PW$5+1,""))</f>
        <v/>
      </c>
      <c r="PY5" s="2" t="str">
        <f>IF(PX$5="","",IF(PX$5+1&lt;=Vehicles!$C$8,PX$5+1,""))</f>
        <v/>
      </c>
      <c r="PZ5" s="2" t="str">
        <f>IF(PY$5="","",IF(PY$5+1&lt;=Vehicles!$C$8,PY$5+1,""))</f>
        <v/>
      </c>
      <c r="QA5" s="2" t="str">
        <f>IF(PZ$5="","",IF(PZ$5+1&lt;=Vehicles!$C$8,PZ$5+1,""))</f>
        <v/>
      </c>
      <c r="QB5" s="2" t="str">
        <f>IF(QA$5="","",IF(QA$5+1&lt;=Vehicles!$C$8,QA$5+1,""))</f>
        <v/>
      </c>
      <c r="QC5" s="2" t="str">
        <f>IF(QB$5="","",IF(QB$5+1&lt;=Vehicles!$C$8,QB$5+1,""))</f>
        <v/>
      </c>
      <c r="QD5" s="2" t="str">
        <f>IF(QC$5="","",IF(QC$5+1&lt;=Vehicles!$C$8,QC$5+1,""))</f>
        <v/>
      </c>
      <c r="QE5" s="2" t="str">
        <f>IF(QD$5="","",IF(QD$5+1&lt;=Vehicles!$C$8,QD$5+1,""))</f>
        <v/>
      </c>
      <c r="QF5" s="2" t="str">
        <f>IF(QE$5="","",IF(QE$5+1&lt;=Vehicles!$C$8,QE$5+1,""))</f>
        <v/>
      </c>
      <c r="QG5" s="2" t="str">
        <f>IF(QF$5="","",IF(QF$5+1&lt;=Vehicles!$C$8,QF$5+1,""))</f>
        <v/>
      </c>
      <c r="QH5" s="2" t="str">
        <f>IF(QG$5="","",IF(QG$5+1&lt;=Vehicles!$C$8,QG$5+1,""))</f>
        <v/>
      </c>
      <c r="QI5" s="2" t="str">
        <f>IF(QH$5="","",IF(QH$5+1&lt;=Vehicles!$C$8,QH$5+1,""))</f>
        <v/>
      </c>
      <c r="QJ5" s="2" t="str">
        <f>IF(QI$5="","",IF(QI$5+1&lt;=Vehicles!$C$8,QI$5+1,""))</f>
        <v/>
      </c>
      <c r="QK5" s="2" t="str">
        <f>IF(QJ$5="","",IF(QJ$5+1&lt;=Vehicles!$C$8,QJ$5+1,""))</f>
        <v/>
      </c>
      <c r="QL5" s="2" t="str">
        <f>IF(QK$5="","",IF(QK$5+1&lt;=Vehicles!$C$8,QK$5+1,""))</f>
        <v/>
      </c>
      <c r="QM5" s="2" t="str">
        <f>IF(QL$5="","",IF(QL$5+1&lt;=Vehicles!$C$8,QL$5+1,""))</f>
        <v/>
      </c>
      <c r="QN5" s="2" t="str">
        <f>IF(QM$5="","",IF(QM$5+1&lt;=Vehicles!$C$8,QM$5+1,""))</f>
        <v/>
      </c>
      <c r="QO5" s="2" t="str">
        <f>IF(QN$5="","",IF(QN$5+1&lt;=Vehicles!$C$8,QN$5+1,""))</f>
        <v/>
      </c>
      <c r="QP5" s="2" t="str">
        <f>IF(QO$5="","",IF(QO$5+1&lt;=Vehicles!$C$8,QO$5+1,""))</f>
        <v/>
      </c>
      <c r="QQ5" s="2" t="str">
        <f>IF(QP$5="","",IF(QP$5+1&lt;=Vehicles!$C$8,QP$5+1,""))</f>
        <v/>
      </c>
      <c r="QR5" s="2" t="str">
        <f>IF(QQ$5="","",IF(QQ$5+1&lt;=Vehicles!$C$8,QQ$5+1,""))</f>
        <v/>
      </c>
      <c r="QS5" s="2" t="str">
        <f>IF(QR$5="","",IF(QR$5+1&lt;=Vehicles!$C$8,QR$5+1,""))</f>
        <v/>
      </c>
      <c r="QT5" s="2" t="str">
        <f>IF(QS$5="","",IF(QS$5+1&lt;=Vehicles!$C$8,QS$5+1,""))</f>
        <v/>
      </c>
      <c r="QU5" s="2" t="str">
        <f>IF(QT$5="","",IF(QT$5+1&lt;=Vehicles!$C$8,QT$5+1,""))</f>
        <v/>
      </c>
      <c r="QV5" s="2" t="str">
        <f>IF(QU$5="","",IF(QU$5+1&lt;=Vehicles!$C$8,QU$5+1,""))</f>
        <v/>
      </c>
      <c r="QW5" s="2" t="str">
        <f>IF(QV$5="","",IF(QV$5+1&lt;=Vehicles!$C$8,QV$5+1,""))</f>
        <v/>
      </c>
      <c r="QX5" s="2" t="str">
        <f>IF(QW$5="","",IF(QW$5+1&lt;=Vehicles!$C$8,QW$5+1,""))</f>
        <v/>
      </c>
      <c r="QY5" s="2" t="str">
        <f>IF(QX$5="","",IF(QX$5+1&lt;=Vehicles!$C$8,QX$5+1,""))</f>
        <v/>
      </c>
      <c r="QZ5" s="2" t="str">
        <f>IF(QY$5="","",IF(QY$5+1&lt;=Vehicles!$C$8,QY$5+1,""))</f>
        <v/>
      </c>
      <c r="RA5" s="2" t="str">
        <f>IF(QZ$5="","",IF(QZ$5+1&lt;=Vehicles!$C$8,QZ$5+1,""))</f>
        <v/>
      </c>
      <c r="RB5" s="2" t="str">
        <f>IF(RA$5="","",IF(RA$5+1&lt;=Vehicles!$C$8,RA$5+1,""))</f>
        <v/>
      </c>
      <c r="RC5" s="2" t="str">
        <f>IF(RB$5="","",IF(RB$5+1&lt;=Vehicles!$C$8,RB$5+1,""))</f>
        <v/>
      </c>
      <c r="RD5" s="2" t="str">
        <f>IF(RC$5="","",IF(RC$5+1&lt;=Vehicles!$C$8,RC$5+1,""))</f>
        <v/>
      </c>
      <c r="RE5" s="2" t="str">
        <f>IF(RD$5="","",IF(RD$5+1&lt;=Vehicles!$C$8,RD$5+1,""))</f>
        <v/>
      </c>
      <c r="RF5" s="2" t="str">
        <f>IF(RE$5="","",IF(RE$5+1&lt;=Vehicles!$C$8,RE$5+1,""))</f>
        <v/>
      </c>
      <c r="RG5" s="2" t="str">
        <f>IF(RF$5="","",IF(RF$5+1&lt;=Vehicles!$C$8,RF$5+1,""))</f>
        <v/>
      </c>
      <c r="RH5" s="2" t="str">
        <f>IF(RG$5="","",IF(RG$5+1&lt;=Vehicles!$C$8,RG$5+1,""))</f>
        <v/>
      </c>
      <c r="RI5" s="2" t="str">
        <f>IF(RH$5="","",IF(RH$5+1&lt;=Vehicles!$C$8,RH$5+1,""))</f>
        <v/>
      </c>
      <c r="RJ5" s="2" t="str">
        <f>IF(RI$5="","",IF(RI$5+1&lt;=Vehicles!$C$8,RI$5+1,""))</f>
        <v/>
      </c>
      <c r="RK5" s="2" t="str">
        <f>IF(RJ$5="","",IF(RJ$5+1&lt;=Vehicles!$C$8,RJ$5+1,""))</f>
        <v/>
      </c>
      <c r="RL5" s="2" t="str">
        <f>IF(RK$5="","",IF(RK$5+1&lt;=Vehicles!$C$8,RK$5+1,""))</f>
        <v/>
      </c>
      <c r="RM5" s="2" t="str">
        <f>IF(RL$5="","",IF(RL$5+1&lt;=Vehicles!$C$8,RL$5+1,""))</f>
        <v/>
      </c>
      <c r="RN5" s="2" t="str">
        <f>IF(RM$5="","",IF(RM$5+1&lt;=Vehicles!$C$8,RM$5+1,""))</f>
        <v/>
      </c>
      <c r="RO5" s="2" t="str">
        <f>IF(RN$5="","",IF(RN$5+1&lt;=Vehicles!$C$8,RN$5+1,""))</f>
        <v/>
      </c>
      <c r="RP5" s="2" t="str">
        <f>IF(RO$5="","",IF(RO$5+1&lt;=Vehicles!$C$8,RO$5+1,""))</f>
        <v/>
      </c>
      <c r="RQ5" s="2" t="str">
        <f>IF(RP$5="","",IF(RP$5+1&lt;=Vehicles!$C$8,RP$5+1,""))</f>
        <v/>
      </c>
      <c r="RR5" s="2" t="str">
        <f>IF(RQ$5="","",IF(RQ$5+1&lt;=Vehicles!$C$8,RQ$5+1,""))</f>
        <v/>
      </c>
      <c r="RS5" s="2" t="str">
        <f>IF(RR$5="","",IF(RR$5+1&lt;=Vehicles!$C$8,RR$5+1,""))</f>
        <v/>
      </c>
      <c r="RT5" s="2" t="str">
        <f>IF(RS$5="","",IF(RS$5+1&lt;=Vehicles!$C$8,RS$5+1,""))</f>
        <v/>
      </c>
      <c r="RU5" s="2" t="str">
        <f>IF(RT$5="","",IF(RT$5+1&lt;=Vehicles!$C$8,RT$5+1,""))</f>
        <v/>
      </c>
      <c r="RV5" s="2" t="str">
        <f>IF(RU$5="","",IF(RU$5+1&lt;=Vehicles!$C$8,RU$5+1,""))</f>
        <v/>
      </c>
      <c r="RW5" s="2" t="str">
        <f>IF(RV$5="","",IF(RV$5+1&lt;=Vehicles!$C$8,RV$5+1,""))</f>
        <v/>
      </c>
      <c r="RX5" s="2" t="str">
        <f>IF(RW$5="","",IF(RW$5+1&lt;=Vehicles!$C$8,RW$5+1,""))</f>
        <v/>
      </c>
      <c r="RY5" s="2" t="str">
        <f>IF(RX$5="","",IF(RX$5+1&lt;=Vehicles!$C$8,RX$5+1,""))</f>
        <v/>
      </c>
      <c r="RZ5" s="2" t="str">
        <f>IF(RY$5="","",IF(RY$5+1&lt;=Vehicles!$C$8,RY$5+1,""))</f>
        <v/>
      </c>
      <c r="SA5" s="2" t="str">
        <f>IF(RZ$5="","",IF(RZ$5+1&lt;=Vehicles!$C$8,RZ$5+1,""))</f>
        <v/>
      </c>
      <c r="SB5" s="2" t="str">
        <f>IF(SA$5="","",IF(SA$5+1&lt;=Vehicles!$C$8,SA$5+1,""))</f>
        <v/>
      </c>
      <c r="SC5" s="2" t="str">
        <f>IF(SB$5="","",IF(SB$5+1&lt;=Vehicles!$C$8,SB$5+1,""))</f>
        <v/>
      </c>
      <c r="SD5" s="2" t="str">
        <f>IF(SC$5="","",IF(SC$5+1&lt;=Vehicles!$C$8,SC$5+1,""))</f>
        <v/>
      </c>
      <c r="SE5" s="2" t="str">
        <f>IF(SD$5="","",IF(SD$5+1&lt;=Vehicles!$C$8,SD$5+1,""))</f>
        <v/>
      </c>
      <c r="SF5" s="2" t="str">
        <f>IF(SE$5="","",IF(SE$5+1&lt;=Vehicles!$C$8,SE$5+1,""))</f>
        <v/>
      </c>
      <c r="SG5" s="2" t="str">
        <f>IF(SF$5="","",IF(SF$5+1&lt;=Vehicles!$C$8,SF$5+1,""))</f>
        <v/>
      </c>
      <c r="SH5" s="2" t="str">
        <f>IF(SG$5="","",IF(SG$5+1&lt;=Vehicles!$C$8,SG$5+1,""))</f>
        <v/>
      </c>
      <c r="SI5" s="2" t="str">
        <f>IF(SH$5="","",IF(SH$5+1&lt;=Vehicles!$C$8,SH$5+1,""))</f>
        <v/>
      </c>
      <c r="SJ5" s="2" t="str">
        <f>IF(SI$5="","",IF(SI$5+1&lt;=Vehicles!$C$8,SI$5+1,""))</f>
        <v/>
      </c>
      <c r="SK5" s="2" t="str">
        <f>IF(SJ$5="","",IF(SJ$5+1&lt;=Vehicles!$C$8,SJ$5+1,""))</f>
        <v/>
      </c>
      <c r="SL5" s="2" t="str">
        <f>IF(SK$5="","",IF(SK$5+1&lt;=Vehicles!$C$8,SK$5+1,""))</f>
        <v/>
      </c>
      <c r="SM5" s="2" t="str">
        <f>IF(SL$5="","",IF(SL$5+1&lt;=Vehicles!$C$8,SL$5+1,""))</f>
        <v/>
      </c>
      <c r="SN5" s="2" t="str">
        <f>IF(SM$5="","",IF(SM$5+1&lt;=Vehicles!$C$8,SM$5+1,""))</f>
        <v/>
      </c>
      <c r="SO5" s="2" t="str">
        <f>IF(SN$5="","",IF(SN$5+1&lt;=Vehicles!$C$8,SN$5+1,""))</f>
        <v/>
      </c>
      <c r="SP5" s="2" t="str">
        <f>IF(SO$5="","",IF(SO$5+1&lt;=Vehicles!$C$8,SO$5+1,""))</f>
        <v/>
      </c>
      <c r="SQ5" s="2" t="str">
        <f>IF(SP$5="","",IF(SP$5+1&lt;=Vehicles!$C$8,SP$5+1,""))</f>
        <v/>
      </c>
      <c r="SR5" s="2" t="str">
        <f>IF(SQ$5="","",IF(SQ$5+1&lt;=Vehicles!$C$8,SQ$5+1,""))</f>
        <v/>
      </c>
      <c r="SS5" s="2" t="str">
        <f>IF(SR$5="","",IF(SR$5+1&lt;=Vehicles!$C$8,SR$5+1,""))</f>
        <v/>
      </c>
      <c r="ST5" s="2" t="str">
        <f>IF(SS$5="","",IF(SS$5+1&lt;=Vehicles!$C$8,SS$5+1,""))</f>
        <v/>
      </c>
      <c r="SU5" s="2" t="str">
        <f>IF(ST$5="","",IF(ST$5+1&lt;=Vehicles!$C$8,ST$5+1,""))</f>
        <v/>
      </c>
      <c r="SV5" s="2" t="str">
        <f>IF(SU$5="","",IF(SU$5+1&lt;=Vehicles!$C$8,SU$5+1,""))</f>
        <v/>
      </c>
      <c r="SW5" s="2" t="str">
        <f>IF(SV$5="","",IF(SV$5+1&lt;=Vehicles!$C$8,SV$5+1,""))</f>
        <v/>
      </c>
      <c r="SX5" s="2" t="str">
        <f>IF(SW$5="","",IF(SW$5+1&lt;=Vehicles!$C$8,SW$5+1,""))</f>
        <v/>
      </c>
      <c r="SY5" s="2" t="str">
        <f>IF(SX$5="","",IF(SX$5+1&lt;=Vehicles!$C$8,SX$5+1,""))</f>
        <v/>
      </c>
      <c r="SZ5" s="2" t="str">
        <f>IF(SY$5="","",IF(SY$5+1&lt;=Vehicles!$C$8,SY$5+1,""))</f>
        <v/>
      </c>
      <c r="TA5" s="2" t="str">
        <f>IF(SZ$5="","",IF(SZ$5+1&lt;=Vehicles!$C$8,SZ$5+1,""))</f>
        <v/>
      </c>
      <c r="TB5" s="2" t="str">
        <f>IF(TA$5="","",IF(TA$5+1&lt;=Vehicles!$C$8,TA$5+1,""))</f>
        <v/>
      </c>
      <c r="TC5" s="2" t="str">
        <f>IF(TB$5="","",IF(TB$5+1&lt;=Vehicles!$C$8,TB$5+1,""))</f>
        <v/>
      </c>
      <c r="TD5" s="2" t="str">
        <f>IF(TC$5="","",IF(TC$5+1&lt;=Vehicles!$C$8,TC$5+1,""))</f>
        <v/>
      </c>
      <c r="TE5" s="2" t="str">
        <f>IF(TD$5="","",IF(TD$5+1&lt;=Vehicles!$C$8,TD$5+1,""))</f>
        <v/>
      </c>
      <c r="TF5" s="2" t="str">
        <f>IF(TE$5="","",IF(TE$5+1&lt;=Vehicles!$C$8,TE$5+1,""))</f>
        <v/>
      </c>
      <c r="TG5" s="2" t="str">
        <f>IF(TF$5="","",IF(TF$5+1&lt;=Vehicles!$C$8,TF$5+1,""))</f>
        <v/>
      </c>
      <c r="TH5" s="2" t="str">
        <f>IF(TG$5="","",IF(TG$5+1&lt;=Vehicles!$C$8,TG$5+1,""))</f>
        <v/>
      </c>
      <c r="TI5" s="2" t="str">
        <f>IF(TH$5="","",IF(TH$5+1&lt;=Vehicles!$C$8,TH$5+1,""))</f>
        <v/>
      </c>
      <c r="TJ5" s="2" t="str">
        <f>IF(TI$5="","",IF(TI$5+1&lt;=Vehicles!$C$8,TI$5+1,""))</f>
        <v/>
      </c>
      <c r="TK5" s="2" t="str">
        <f>IF(TJ$5="","",IF(TJ$5+1&lt;=Vehicles!$C$8,TJ$5+1,""))</f>
        <v/>
      </c>
      <c r="TL5" s="2" t="str">
        <f>IF(TK$5="","",IF(TK$5+1&lt;=Vehicles!$C$8,TK$5+1,""))</f>
        <v/>
      </c>
      <c r="TM5" s="2" t="str">
        <f>IF(TL$5="","",IF(TL$5+1&lt;=Vehicles!$C$8,TL$5+1,""))</f>
        <v/>
      </c>
      <c r="TN5" s="2" t="str">
        <f>IF(TM$5="","",IF(TM$5+1&lt;=Vehicles!$C$8,TM$5+1,""))</f>
        <v/>
      </c>
      <c r="TO5" s="2" t="str">
        <f>IF(TN$5="","",IF(TN$5+1&lt;=Vehicles!$C$8,TN$5+1,""))</f>
        <v/>
      </c>
      <c r="TP5" s="2" t="str">
        <f>IF(TO$5="","",IF(TO$5+1&lt;=Vehicles!$C$8,TO$5+1,""))</f>
        <v/>
      </c>
      <c r="TQ5" s="2" t="str">
        <f>IF(TP$5="","",IF(TP$5+1&lt;=Vehicles!$C$8,TP$5+1,""))</f>
        <v/>
      </c>
      <c r="TR5" s="2" t="str">
        <f>IF(TQ$5="","",IF(TQ$5+1&lt;=Vehicles!$C$8,TQ$5+1,""))</f>
        <v/>
      </c>
      <c r="TS5" s="2" t="str">
        <f>IF(TR$5="","",IF(TR$5+1&lt;=Vehicles!$C$8,TR$5+1,""))</f>
        <v/>
      </c>
      <c r="TT5" s="2" t="str">
        <f>IF(TS$5="","",IF(TS$5+1&lt;=Vehicles!$C$8,TS$5+1,""))</f>
        <v/>
      </c>
      <c r="TU5" s="2" t="str">
        <f>IF(TT$5="","",IF(TT$5+1&lt;=Vehicles!$C$8,TT$5+1,""))</f>
        <v/>
      </c>
      <c r="TV5" s="2" t="str">
        <f>IF(TU$5="","",IF(TU$5+1&lt;=Vehicles!$C$8,TU$5+1,""))</f>
        <v/>
      </c>
      <c r="TW5" s="2" t="str">
        <f>IF(TV$5="","",IF(TV$5+1&lt;=Vehicles!$C$8,TV$5+1,""))</f>
        <v/>
      </c>
      <c r="TX5" s="2" t="str">
        <f>IF(TW$5="","",IF(TW$5+1&lt;=Vehicles!$C$8,TW$5+1,""))</f>
        <v/>
      </c>
      <c r="TY5" s="2" t="str">
        <f>IF(TX$5="","",IF(TX$5+1&lt;=Vehicles!$C$8,TX$5+1,""))</f>
        <v/>
      </c>
      <c r="TZ5" s="2" t="str">
        <f>IF(TY$5="","",IF(TY$5+1&lt;=Vehicles!$C$8,TY$5+1,""))</f>
        <v/>
      </c>
      <c r="UA5" s="2" t="str">
        <f>IF(TZ$5="","",IF(TZ$5+1&lt;=Vehicles!$C$8,TZ$5+1,""))</f>
        <v/>
      </c>
      <c r="UB5" s="2" t="str">
        <f>IF(UA$5="","",IF(UA$5+1&lt;=Vehicles!$C$8,UA$5+1,""))</f>
        <v/>
      </c>
      <c r="UC5" s="2" t="str">
        <f>IF(UB$5="","",IF(UB$5+1&lt;=Vehicles!$C$8,UB$5+1,""))</f>
        <v/>
      </c>
      <c r="UD5" s="2" t="str">
        <f>IF(UC$5="","",IF(UC$5+1&lt;=Vehicles!$C$8,UC$5+1,""))</f>
        <v/>
      </c>
      <c r="UE5" s="2" t="str">
        <f>IF(UD$5="","",IF(UD$5+1&lt;=Vehicles!$C$8,UD$5+1,""))</f>
        <v/>
      </c>
      <c r="UF5" s="2" t="str">
        <f>IF(UE$5="","",IF(UE$5+1&lt;=Vehicles!$C$8,UE$5+1,""))</f>
        <v/>
      </c>
      <c r="UG5" s="2" t="str">
        <f>IF(UF$5="","",IF(UF$5+1&lt;=Vehicles!$C$8,UF$5+1,""))</f>
        <v/>
      </c>
      <c r="UH5" s="2" t="str">
        <f>IF(UG$5="","",IF(UG$5+1&lt;=Vehicles!$C$8,UG$5+1,""))</f>
        <v/>
      </c>
      <c r="UI5" s="2" t="str">
        <f>IF(UH$5="","",IF(UH$5+1&lt;=Vehicles!$C$8,UH$5+1,""))</f>
        <v/>
      </c>
      <c r="UJ5" s="2" t="str">
        <f>IF(UI$5="","",IF(UI$5+1&lt;=Vehicles!$C$8,UI$5+1,""))</f>
        <v/>
      </c>
      <c r="UK5" s="2" t="str">
        <f>IF(UJ$5="","",IF(UJ$5+1&lt;=Vehicles!$C$8,UJ$5+1,""))</f>
        <v/>
      </c>
      <c r="UL5" s="2" t="str">
        <f>IF(UK$5="","",IF(UK$5+1&lt;=Vehicles!$C$8,UK$5+1,""))</f>
        <v/>
      </c>
      <c r="UM5" s="2" t="str">
        <f>IF(UL$5="","",IF(UL$5+1&lt;=Vehicles!$C$8,UL$5+1,""))</f>
        <v/>
      </c>
      <c r="UN5" s="2" t="str">
        <f>IF(UM$5="","",IF(UM$5+1&lt;=Vehicles!$C$8,UM$5+1,""))</f>
        <v/>
      </c>
      <c r="UO5" s="2" t="str">
        <f>IF(UN$5="","",IF(UN$5+1&lt;=Vehicles!$C$8,UN$5+1,""))</f>
        <v/>
      </c>
      <c r="UP5" s="2" t="str">
        <f>IF(UO$5="","",IF(UO$5+1&lt;=Vehicles!$C$8,UO$5+1,""))</f>
        <v/>
      </c>
      <c r="UQ5" s="2" t="str">
        <f>IF(UP$5="","",IF(UP$5+1&lt;=Vehicles!$C$8,UP$5+1,""))</f>
        <v/>
      </c>
      <c r="UR5" s="2" t="str">
        <f>IF(UQ$5="","",IF(UQ$5+1&lt;=Vehicles!$C$8,UQ$5+1,""))</f>
        <v/>
      </c>
      <c r="US5" s="2" t="str">
        <f>IF(UR$5="","",IF(UR$5+1&lt;=Vehicles!$C$8,UR$5+1,""))</f>
        <v/>
      </c>
      <c r="UT5" s="2" t="str">
        <f>IF(US$5="","",IF(US$5+1&lt;=Vehicles!$C$8,US$5+1,""))</f>
        <v/>
      </c>
      <c r="UU5" s="2" t="str">
        <f>IF(UT$5="","",IF(UT$5+1&lt;=Vehicles!$C$8,UT$5+1,""))</f>
        <v/>
      </c>
      <c r="UV5" s="2" t="str">
        <f>IF(UU$5="","",IF(UU$5+1&lt;=Vehicles!$C$8,UU$5+1,""))</f>
        <v/>
      </c>
      <c r="UW5" s="2" t="str">
        <f>IF(UV$5="","",IF(UV$5+1&lt;=Vehicles!$C$8,UV$5+1,""))</f>
        <v/>
      </c>
      <c r="UX5" s="2" t="str">
        <f>IF(UW$5="","",IF(UW$5+1&lt;=Vehicles!$C$8,UW$5+1,""))</f>
        <v/>
      </c>
      <c r="UY5" s="2" t="str">
        <f>IF(UX$5="","",IF(UX$5+1&lt;=Vehicles!$C$8,UX$5+1,""))</f>
        <v/>
      </c>
      <c r="UZ5" s="2" t="str">
        <f>IF(UY$5="","",IF(UY$5+1&lt;=Vehicles!$C$8,UY$5+1,""))</f>
        <v/>
      </c>
      <c r="VA5" s="2" t="str">
        <f>IF(UZ$5="","",IF(UZ$5+1&lt;=Vehicles!$C$8,UZ$5+1,""))</f>
        <v/>
      </c>
      <c r="VB5" s="2" t="str">
        <f>IF(VA$5="","",IF(VA$5+1&lt;=Vehicles!$C$8,VA$5+1,""))</f>
        <v/>
      </c>
      <c r="VC5" s="2" t="str">
        <f>IF(VB$5="","",IF(VB$5+1&lt;=Vehicles!$C$8,VB$5+1,""))</f>
        <v/>
      </c>
      <c r="VD5" s="2" t="str">
        <f>IF(VC$5="","",IF(VC$5+1&lt;=Vehicles!$C$8,VC$5+1,""))</f>
        <v/>
      </c>
      <c r="VE5" s="2" t="str">
        <f>IF(VD$5="","",IF(VD$5+1&lt;=Vehicles!$C$8,VD$5+1,""))</f>
        <v/>
      </c>
      <c r="VF5" s="2" t="str">
        <f>IF(VE$5="","",IF(VE$5+1&lt;=Vehicles!$C$8,VE$5+1,""))</f>
        <v/>
      </c>
      <c r="VG5" s="2" t="str">
        <f>IF(VF$5="","",IF(VF$5+1&lt;=Vehicles!$C$8,VF$5+1,""))</f>
        <v/>
      </c>
      <c r="VH5" s="2" t="str">
        <f>IF(VG$5="","",IF(VG$5+1&lt;=Vehicles!$C$8,VG$5+1,""))</f>
        <v/>
      </c>
      <c r="VI5" s="2" t="str">
        <f>IF(VH$5="","",IF(VH$5+1&lt;=Vehicles!$C$8,VH$5+1,""))</f>
        <v/>
      </c>
      <c r="VJ5" s="2" t="str">
        <f>IF(VI$5="","",IF(VI$5+1&lt;=Vehicles!$C$8,VI$5+1,""))</f>
        <v/>
      </c>
      <c r="VK5" s="2" t="str">
        <f>IF(VJ$5="","",IF(VJ$5+1&lt;=Vehicles!$C$8,VJ$5+1,""))</f>
        <v/>
      </c>
      <c r="VL5" s="2" t="str">
        <f>IF(VK$5="","",IF(VK$5+1&lt;=Vehicles!$C$8,VK$5+1,""))</f>
        <v/>
      </c>
      <c r="VM5" s="2" t="str">
        <f>IF(VL$5="","",IF(VL$5+1&lt;=Vehicles!$C$8,VL$5+1,""))</f>
        <v/>
      </c>
      <c r="VN5" s="2" t="str">
        <f>IF(VM$5="","",IF(VM$5+1&lt;=Vehicles!$C$8,VM$5+1,""))</f>
        <v/>
      </c>
      <c r="VO5" s="2" t="str">
        <f>IF(VN$5="","",IF(VN$5+1&lt;=Vehicles!$C$8,VN$5+1,""))</f>
        <v/>
      </c>
      <c r="VP5" s="2" t="str">
        <f>IF(VO$5="","",IF(VO$5+1&lt;=Vehicles!$C$8,VO$5+1,""))</f>
        <v/>
      </c>
      <c r="VQ5" s="2" t="str">
        <f>IF(VP$5="","",IF(VP$5+1&lt;=Vehicles!$C$8,VP$5+1,""))</f>
        <v/>
      </c>
      <c r="VR5" s="2" t="str">
        <f>IF(VQ$5="","",IF(VQ$5+1&lt;=Vehicles!$C$8,VQ$5+1,""))</f>
        <v/>
      </c>
      <c r="VS5" s="2" t="str">
        <f>IF(VR$5="","",IF(VR$5+1&lt;=Vehicles!$C$8,VR$5+1,""))</f>
        <v/>
      </c>
      <c r="VT5" s="2" t="str">
        <f>IF(VS$5="","",IF(VS$5+1&lt;=Vehicles!$C$8,VS$5+1,""))</f>
        <v/>
      </c>
      <c r="VU5" s="2" t="str">
        <f>IF(VT$5="","",IF(VT$5+1&lt;=Vehicles!$C$8,VT$5+1,""))</f>
        <v/>
      </c>
      <c r="VV5" s="2" t="str">
        <f>IF(VU$5="","",IF(VU$5+1&lt;=Vehicles!$C$8,VU$5+1,""))</f>
        <v/>
      </c>
      <c r="VW5" s="2" t="str">
        <f>IF(VV$5="","",IF(VV$5+1&lt;=Vehicles!$C$8,VV$5+1,""))</f>
        <v/>
      </c>
      <c r="VX5" s="2" t="str">
        <f>IF(VW$5="","",IF(VW$5+1&lt;=Vehicles!$C$8,VW$5+1,""))</f>
        <v/>
      </c>
      <c r="VY5" s="2" t="str">
        <f>IF(VX$5="","",IF(VX$5+1&lt;=Vehicles!$C$8,VX$5+1,""))</f>
        <v/>
      </c>
      <c r="VZ5" s="2" t="str">
        <f>IF(VY$5="","",IF(VY$5+1&lt;=Vehicles!$C$8,VY$5+1,""))</f>
        <v/>
      </c>
      <c r="WA5" s="2" t="str">
        <f>IF(VZ$5="","",IF(VZ$5+1&lt;=Vehicles!$C$8,VZ$5+1,""))</f>
        <v/>
      </c>
      <c r="WB5" s="2" t="str">
        <f>IF(WA$5="","",IF(WA$5+1&lt;=Vehicles!$C$8,WA$5+1,""))</f>
        <v/>
      </c>
      <c r="WC5" s="2" t="str">
        <f>IF(WB$5="","",IF(WB$5+1&lt;=Vehicles!$C$8,WB$5+1,""))</f>
        <v/>
      </c>
      <c r="WD5" s="2" t="str">
        <f>IF(WC$5="","",IF(WC$5+1&lt;=Vehicles!$C$8,WC$5+1,""))</f>
        <v/>
      </c>
      <c r="WE5" s="2" t="str">
        <f>IF(WD$5="","",IF(WD$5+1&lt;=Vehicles!$C$8,WD$5+1,""))</f>
        <v/>
      </c>
      <c r="WF5" s="2" t="str">
        <f>IF(WE$5="","",IF(WE$5+1&lt;=Vehicles!$C$8,WE$5+1,""))</f>
        <v/>
      </c>
      <c r="WG5" s="2" t="str">
        <f>IF(WF$5="","",IF(WF$5+1&lt;=Vehicles!$C$8,WF$5+1,""))</f>
        <v/>
      </c>
      <c r="WH5" s="2" t="str">
        <f>IF(WG$5="","",IF(WG$5+1&lt;=Vehicles!$C$8,WG$5+1,""))</f>
        <v/>
      </c>
      <c r="WI5" s="2" t="str">
        <f>IF(WH$5="","",IF(WH$5+1&lt;=Vehicles!$C$8,WH$5+1,""))</f>
        <v/>
      </c>
      <c r="WJ5" s="2" t="str">
        <f>IF(WI$5="","",IF(WI$5+1&lt;=Vehicles!$C$8,WI$5+1,""))</f>
        <v/>
      </c>
      <c r="WK5" s="2" t="str">
        <f>IF(WJ$5="","",IF(WJ$5+1&lt;=Vehicles!$C$8,WJ$5+1,""))</f>
        <v/>
      </c>
      <c r="WL5" s="2" t="str">
        <f>IF(WK$5="","",IF(WK$5+1&lt;=Vehicles!$C$8,WK$5+1,""))</f>
        <v/>
      </c>
      <c r="WM5" s="2" t="str">
        <f>IF(WL$5="","",IF(WL$5+1&lt;=Vehicles!$C$8,WL$5+1,""))</f>
        <v/>
      </c>
      <c r="WN5" s="2" t="str">
        <f>IF(WM$5="","",IF(WM$5+1&lt;=Vehicles!$C$8,WM$5+1,""))</f>
        <v/>
      </c>
      <c r="WO5" s="2" t="str">
        <f>IF(WN$5="","",IF(WN$5+1&lt;=Vehicles!$C$8,WN$5+1,""))</f>
        <v/>
      </c>
      <c r="WP5" s="2" t="str">
        <f>IF(WO$5="","",IF(WO$5+1&lt;=Vehicles!$C$8,WO$5+1,""))</f>
        <v/>
      </c>
      <c r="WQ5" s="2" t="str">
        <f>IF(WP$5="","",IF(WP$5+1&lt;=Vehicles!$C$8,WP$5+1,""))</f>
        <v/>
      </c>
      <c r="WR5" s="2" t="str">
        <f>IF(WQ$5="","",IF(WQ$5+1&lt;=Vehicles!$C$8,WQ$5+1,""))</f>
        <v/>
      </c>
      <c r="WS5" s="2" t="str">
        <f>IF(WR$5="","",IF(WR$5+1&lt;=Vehicles!$C$8,WR$5+1,""))</f>
        <v/>
      </c>
      <c r="WT5" s="2" t="str">
        <f>IF(WS$5="","",IF(WS$5+1&lt;=Vehicles!$C$8,WS$5+1,""))</f>
        <v/>
      </c>
      <c r="WU5" s="2" t="str">
        <f>IF(WT$5="","",IF(WT$5+1&lt;=Vehicles!$C$8,WT$5+1,""))</f>
        <v/>
      </c>
      <c r="WV5" s="2" t="str">
        <f>IF(WU$5="","",IF(WU$5+1&lt;=Vehicles!$C$8,WU$5+1,""))</f>
        <v/>
      </c>
      <c r="WW5" s="2" t="str">
        <f>IF(WV$5="","",IF(WV$5+1&lt;=Vehicles!$C$8,WV$5+1,""))</f>
        <v/>
      </c>
      <c r="WX5" s="2" t="str">
        <f>IF(WW$5="","",IF(WW$5+1&lt;=Vehicles!$C$8,WW$5+1,""))</f>
        <v/>
      </c>
      <c r="WY5" s="2" t="str">
        <f>IF(WX$5="","",IF(WX$5+1&lt;=Vehicles!$C$8,WX$5+1,""))</f>
        <v/>
      </c>
      <c r="WZ5" s="2" t="str">
        <f>IF(WY$5="","",IF(WY$5+1&lt;=Vehicles!$C$8,WY$5+1,""))</f>
        <v/>
      </c>
      <c r="XA5" s="2" t="str">
        <f>IF(WZ$5="","",IF(WZ$5+1&lt;=Vehicles!$C$8,WZ$5+1,""))</f>
        <v/>
      </c>
      <c r="XB5" s="2" t="str">
        <f>IF(XA$5="","",IF(XA$5+1&lt;=Vehicles!$C$8,XA$5+1,""))</f>
        <v/>
      </c>
      <c r="XC5" s="2" t="str">
        <f>IF(XB$5="","",IF(XB$5+1&lt;=Vehicles!$C$8,XB$5+1,""))</f>
        <v/>
      </c>
      <c r="XD5" s="2" t="str">
        <f>IF(XC$5="","",IF(XC$5+1&lt;=Vehicles!$C$8,XC$5+1,""))</f>
        <v/>
      </c>
      <c r="XE5" s="2" t="str">
        <f>IF(XD$5="","",IF(XD$5+1&lt;=Vehicles!$C$8,XD$5+1,""))</f>
        <v/>
      </c>
      <c r="XF5" s="2" t="str">
        <f>IF(XE$5="","",IF(XE$5+1&lt;=Vehicles!$C$8,XE$5+1,""))</f>
        <v/>
      </c>
      <c r="XG5" s="2" t="str">
        <f>IF(XF$5="","",IF(XF$5+1&lt;=Vehicles!$C$8,XF$5+1,""))</f>
        <v/>
      </c>
      <c r="XH5" s="2" t="str">
        <f>IF(XG$5="","",IF(XG$5+1&lt;=Vehicles!$C$8,XG$5+1,""))</f>
        <v/>
      </c>
      <c r="XI5" s="2" t="str">
        <f>IF(XH$5="","",IF(XH$5+1&lt;=Vehicles!$C$8,XH$5+1,""))</f>
        <v/>
      </c>
      <c r="XJ5" s="2" t="str">
        <f>IF(XI$5="","",IF(XI$5+1&lt;=Vehicles!$C$8,XI$5+1,""))</f>
        <v/>
      </c>
      <c r="XK5" s="2" t="str">
        <f>IF(XJ$5="","",IF(XJ$5+1&lt;=Vehicles!$C$8,XJ$5+1,""))</f>
        <v/>
      </c>
      <c r="XL5" s="2" t="str">
        <f>IF(XK$5="","",IF(XK$5+1&lt;=Vehicles!$C$8,XK$5+1,""))</f>
        <v/>
      </c>
      <c r="XM5" s="2" t="str">
        <f>IF(XL$5="","",IF(XL$5+1&lt;=Vehicles!$C$8,XL$5+1,""))</f>
        <v/>
      </c>
      <c r="XN5" s="2" t="str">
        <f>IF(XM$5="","",IF(XM$5+1&lt;=Vehicles!$C$8,XM$5+1,""))</f>
        <v/>
      </c>
      <c r="XO5" s="2" t="str">
        <f>IF(XN$5="","",IF(XN$5+1&lt;=Vehicles!$C$8,XN$5+1,""))</f>
        <v/>
      </c>
      <c r="XP5" s="2" t="str">
        <f>IF(XO$5="","",IF(XO$5+1&lt;=Vehicles!$C$8,XO$5+1,""))</f>
        <v/>
      </c>
      <c r="XQ5" s="2" t="str">
        <f>IF(XP$5="","",IF(XP$5+1&lt;=Vehicles!$C$8,XP$5+1,""))</f>
        <v/>
      </c>
      <c r="XR5" s="2" t="str">
        <f>IF(XQ$5="","",IF(XQ$5+1&lt;=Vehicles!$C$8,XQ$5+1,""))</f>
        <v/>
      </c>
      <c r="XS5" s="2" t="str">
        <f>IF(XR$5="","",IF(XR$5+1&lt;=Vehicles!$C$8,XR$5+1,""))</f>
        <v/>
      </c>
      <c r="XT5" s="2" t="str">
        <f>IF(XS$5="","",IF(XS$5+1&lt;=Vehicles!$C$8,XS$5+1,""))</f>
        <v/>
      </c>
      <c r="XU5" s="2" t="str">
        <f>IF(XT$5="","",IF(XT$5+1&lt;=Vehicles!$C$8,XT$5+1,""))</f>
        <v/>
      </c>
      <c r="XV5" s="2" t="str">
        <f>IF(XU$5="","",IF(XU$5+1&lt;=Vehicles!$C$8,XU$5+1,""))</f>
        <v/>
      </c>
      <c r="XW5" s="2" t="str">
        <f>IF(XV$5="","",IF(XV$5+1&lt;=Vehicles!$C$8,XV$5+1,""))</f>
        <v/>
      </c>
      <c r="XX5" s="2" t="str">
        <f>IF(XW$5="","",IF(XW$5+1&lt;=Vehicles!$C$8,XW$5+1,""))</f>
        <v/>
      </c>
      <c r="XY5" s="2" t="str">
        <f>IF(XX$5="","",IF(XX$5+1&lt;=Vehicles!$C$8,XX$5+1,""))</f>
        <v/>
      </c>
      <c r="XZ5" s="2" t="str">
        <f>IF(XY$5="","",IF(XY$5+1&lt;=Vehicles!$C$8,XY$5+1,""))</f>
        <v/>
      </c>
      <c r="YA5" s="2" t="str">
        <f>IF(XZ$5="","",IF(XZ$5+1&lt;=Vehicles!$C$8,XZ$5+1,""))</f>
        <v/>
      </c>
      <c r="YB5" s="2" t="str">
        <f>IF(YA$5="","",IF(YA$5+1&lt;=Vehicles!$C$8,YA$5+1,""))</f>
        <v/>
      </c>
      <c r="YC5" s="2" t="str">
        <f>IF(YB$5="","",IF(YB$5+1&lt;=Vehicles!$C$8,YB$5+1,""))</f>
        <v/>
      </c>
      <c r="YD5" s="2" t="str">
        <f>IF(YC$5="","",IF(YC$5+1&lt;=Vehicles!$C$8,YC$5+1,""))</f>
        <v/>
      </c>
      <c r="YE5" s="2" t="str">
        <f>IF(YD$5="","",IF(YD$5+1&lt;=Vehicles!$C$8,YD$5+1,""))</f>
        <v/>
      </c>
      <c r="YF5" s="2" t="str">
        <f>IF(YE$5="","",IF(YE$5+1&lt;=Vehicles!$C$8,YE$5+1,""))</f>
        <v/>
      </c>
      <c r="YG5" s="2" t="str">
        <f>IF(YF$5="","",IF(YF$5+1&lt;=Vehicles!$C$8,YF$5+1,""))</f>
        <v/>
      </c>
      <c r="YH5" s="2" t="str">
        <f>IF(YG$5="","",IF(YG$5+1&lt;=Vehicles!$C$8,YG$5+1,""))</f>
        <v/>
      </c>
      <c r="YI5" s="2" t="str">
        <f>IF(YH$5="","",IF(YH$5+1&lt;=Vehicles!$C$8,YH$5+1,""))</f>
        <v/>
      </c>
      <c r="YJ5" s="2" t="str">
        <f>IF(YI$5="","",IF(YI$5+1&lt;=Vehicles!$C$8,YI$5+1,""))</f>
        <v/>
      </c>
      <c r="YK5" s="2" t="str">
        <f>IF(YJ$5="","",IF(YJ$5+1&lt;=Vehicles!$C$8,YJ$5+1,""))</f>
        <v/>
      </c>
      <c r="YL5" s="2" t="str">
        <f>IF(YK$5="","",IF(YK$5+1&lt;=Vehicles!$C$8,YK$5+1,""))</f>
        <v/>
      </c>
      <c r="YM5" s="2" t="str">
        <f>IF(YL$5="","",IF(YL$5+1&lt;=Vehicles!$C$8,YL$5+1,""))</f>
        <v/>
      </c>
      <c r="YN5" s="2" t="str">
        <f>IF(YM$5="","",IF(YM$5+1&lt;=Vehicles!$C$8,YM$5+1,""))</f>
        <v/>
      </c>
      <c r="YO5" s="2" t="str">
        <f>IF(YN$5="","",IF(YN$5+1&lt;=Vehicles!$C$8,YN$5+1,""))</f>
        <v/>
      </c>
      <c r="YP5" s="2" t="str">
        <f>IF(YO$5="","",IF(YO$5+1&lt;=Vehicles!$C$8,YO$5+1,""))</f>
        <v/>
      </c>
      <c r="YQ5" s="2" t="str">
        <f>IF(YP$5="","",IF(YP$5+1&lt;=Vehicles!$C$8,YP$5+1,""))</f>
        <v/>
      </c>
      <c r="YR5" s="2" t="str">
        <f>IF(YQ$5="","",IF(YQ$5+1&lt;=Vehicles!$C$8,YQ$5+1,""))</f>
        <v/>
      </c>
      <c r="YS5" s="2" t="str">
        <f>IF(YR$5="","",IF(YR$5+1&lt;=Vehicles!$C$8,YR$5+1,""))</f>
        <v/>
      </c>
      <c r="YT5" s="2" t="str">
        <f>IF(YS$5="","",IF(YS$5+1&lt;=Vehicles!$C$8,YS$5+1,""))</f>
        <v/>
      </c>
      <c r="YU5" s="2" t="str">
        <f>IF(YT$5="","",IF(YT$5+1&lt;=Vehicles!$C$8,YT$5+1,""))</f>
        <v/>
      </c>
      <c r="YV5" s="2" t="str">
        <f>IF(YU$5="","",IF(YU$5+1&lt;=Vehicles!$C$8,YU$5+1,""))</f>
        <v/>
      </c>
      <c r="YW5" s="2" t="str">
        <f>IF(YV$5="","",IF(YV$5+1&lt;=Vehicles!$C$8,YV$5+1,""))</f>
        <v/>
      </c>
      <c r="YX5" s="2" t="str">
        <f>IF(YW$5="","",IF(YW$5+1&lt;=Vehicles!$C$8,YW$5+1,""))</f>
        <v/>
      </c>
      <c r="YY5" s="2" t="str">
        <f>IF(YX$5="","",IF(YX$5+1&lt;=Vehicles!$C$8,YX$5+1,""))</f>
        <v/>
      </c>
      <c r="YZ5" s="2" t="str">
        <f>IF(YY$5="","",IF(YY$5+1&lt;=Vehicles!$C$8,YY$5+1,""))</f>
        <v/>
      </c>
      <c r="ZA5" s="2" t="str">
        <f>IF(YZ$5="","",IF(YZ$5+1&lt;=Vehicles!$C$8,YZ$5+1,""))</f>
        <v/>
      </c>
      <c r="ZB5" s="2" t="str">
        <f>IF(ZA$5="","",IF(ZA$5+1&lt;=Vehicles!$C$8,ZA$5+1,""))</f>
        <v/>
      </c>
      <c r="ZC5" s="2" t="str">
        <f>IF(ZB$5="","",IF(ZB$5+1&lt;=Vehicles!$C$8,ZB$5+1,""))</f>
        <v/>
      </c>
      <c r="ZD5" s="2" t="str">
        <f>IF(ZC$5="","",IF(ZC$5+1&lt;=Vehicles!$C$8,ZC$5+1,""))</f>
        <v/>
      </c>
      <c r="ZE5" s="2" t="str">
        <f>IF(ZD$5="","",IF(ZD$5+1&lt;=Vehicles!$C$8,ZD$5+1,""))</f>
        <v/>
      </c>
      <c r="ZF5" s="2" t="str">
        <f>IF(ZE$5="","",IF(ZE$5+1&lt;=Vehicles!$C$8,ZE$5+1,""))</f>
        <v/>
      </c>
      <c r="ZG5" s="2" t="str">
        <f>IF(ZF$5="","",IF(ZF$5+1&lt;=Vehicles!$C$8,ZF$5+1,""))</f>
        <v/>
      </c>
      <c r="ZH5" s="2" t="str">
        <f>IF(ZG$5="","",IF(ZG$5+1&lt;=Vehicles!$C$8,ZG$5+1,""))</f>
        <v/>
      </c>
      <c r="ZI5" s="2" t="str">
        <f>IF(ZH$5="","",IF(ZH$5+1&lt;=Vehicles!$C$8,ZH$5+1,""))</f>
        <v/>
      </c>
      <c r="ZJ5" s="2" t="str">
        <f>IF(ZI$5="","",IF(ZI$5+1&lt;=Vehicles!$C$8,ZI$5+1,""))</f>
        <v/>
      </c>
      <c r="ZK5" s="2" t="str">
        <f>IF(ZJ$5="","",IF(ZJ$5+1&lt;=Vehicles!$C$8,ZJ$5+1,""))</f>
        <v/>
      </c>
      <c r="ZL5" s="2" t="str">
        <f>IF(ZK$5="","",IF(ZK$5+1&lt;=Vehicles!$C$8,ZK$5+1,""))</f>
        <v/>
      </c>
      <c r="ZM5" s="2" t="str">
        <f>IF(ZL$5="","",IF(ZL$5+1&lt;=Vehicles!$C$8,ZL$5+1,""))</f>
        <v/>
      </c>
      <c r="ZN5" s="2" t="str">
        <f>IF(ZM$5="","",IF(ZM$5+1&lt;=Vehicles!$C$8,ZM$5+1,""))</f>
        <v/>
      </c>
      <c r="ZO5" s="2" t="str">
        <f>IF(ZN$5="","",IF(ZN$5+1&lt;=Vehicles!$C$8,ZN$5+1,""))</f>
        <v/>
      </c>
      <c r="ZP5" s="2" t="str">
        <f>IF(ZO$5="","",IF(ZO$5+1&lt;=Vehicles!$C$8,ZO$5+1,""))</f>
        <v/>
      </c>
      <c r="ZQ5" s="2" t="str">
        <f>IF(ZP$5="","",IF(ZP$5+1&lt;=Vehicles!$C$8,ZP$5+1,""))</f>
        <v/>
      </c>
      <c r="ZR5" s="2" t="str">
        <f>IF(ZQ$5="","",IF(ZQ$5+1&lt;=Vehicles!$C$8,ZQ$5+1,""))</f>
        <v/>
      </c>
      <c r="ZS5" s="2" t="str">
        <f>IF(ZR$5="","",IF(ZR$5+1&lt;=Vehicles!$C$8,ZR$5+1,""))</f>
        <v/>
      </c>
      <c r="ZT5" s="2" t="str">
        <f>IF(ZS$5="","",IF(ZS$5+1&lt;=Vehicles!$C$8,ZS$5+1,""))</f>
        <v/>
      </c>
      <c r="ZU5" s="2" t="str">
        <f>IF(ZT$5="","",IF(ZT$5+1&lt;=Vehicles!$C$8,ZT$5+1,""))</f>
        <v/>
      </c>
      <c r="ZV5" s="2" t="str">
        <f>IF(ZU$5="","",IF(ZU$5+1&lt;=Vehicles!$C$8,ZU$5+1,""))</f>
        <v/>
      </c>
      <c r="ZW5" s="2" t="str">
        <f>IF(ZV$5="","",IF(ZV$5+1&lt;=Vehicles!$C$8,ZV$5+1,""))</f>
        <v/>
      </c>
      <c r="ZX5" s="2" t="str">
        <f>IF(ZW$5="","",IF(ZW$5+1&lt;=Vehicles!$C$8,ZW$5+1,""))</f>
        <v/>
      </c>
      <c r="ZY5" s="2" t="str">
        <f>IF(ZX$5="","",IF(ZX$5+1&lt;=Vehicles!$C$8,ZX$5+1,""))</f>
        <v/>
      </c>
      <c r="ZZ5" s="2" t="str">
        <f>IF(ZY$5="","",IF(ZY$5+1&lt;=Vehicles!$C$8,ZY$5+1,""))</f>
        <v/>
      </c>
    </row>
    <row r="6" spans="2:702" s="2" customFormat="1" ht="15" customHeight="1" x14ac:dyDescent="0.2"/>
    <row r="7" spans="2:702" ht="15" customHeight="1" x14ac:dyDescent="0.2">
      <c r="B7" s="17" t="s">
        <v>39</v>
      </c>
      <c r="C7" s="8"/>
      <c r="D7" s="5"/>
      <c r="E7" s="5"/>
    </row>
    <row r="8" spans="2:702" s="22" customFormat="1" ht="15" customHeight="1" x14ac:dyDescent="0.2">
      <c r="B8" s="18"/>
      <c r="C8" s="19"/>
      <c r="D8" s="20"/>
      <c r="E8" s="20"/>
      <c r="F8" s="21"/>
      <c r="G8" s="21"/>
    </row>
    <row r="9" spans="2:702" ht="15" customHeight="1" x14ac:dyDescent="0.2">
      <c r="B9" s="4" t="s">
        <v>40</v>
      </c>
      <c r="C9" s="15">
        <v>10</v>
      </c>
      <c r="D9" s="15">
        <v>10</v>
      </c>
      <c r="E9" s="15">
        <v>10</v>
      </c>
      <c r="F9" s="15">
        <v>10</v>
      </c>
      <c r="G9" s="15">
        <v>10</v>
      </c>
      <c r="H9" s="15">
        <v>10</v>
      </c>
      <c r="I9" s="15">
        <v>10</v>
      </c>
      <c r="J9" s="15">
        <v>10</v>
      </c>
      <c r="K9" s="15">
        <v>10</v>
      </c>
      <c r="L9" s="15">
        <v>10</v>
      </c>
      <c r="M9" s="15">
        <v>10</v>
      </c>
      <c r="N9" s="15">
        <v>10</v>
      </c>
      <c r="O9" s="15">
        <v>10</v>
      </c>
      <c r="P9" s="15">
        <v>10</v>
      </c>
      <c r="Q9" s="15">
        <v>10</v>
      </c>
      <c r="R9" s="15">
        <v>10</v>
      </c>
      <c r="S9" s="15">
        <v>10</v>
      </c>
      <c r="T9" s="15">
        <v>10</v>
      </c>
      <c r="U9" s="15">
        <v>10</v>
      </c>
      <c r="V9" s="15">
        <v>10</v>
      </c>
      <c r="W9" s="15">
        <v>10</v>
      </c>
      <c r="X9" s="15">
        <v>10</v>
      </c>
      <c r="Y9" s="15">
        <v>10</v>
      </c>
      <c r="Z9" s="15">
        <v>10</v>
      </c>
      <c r="AA9" s="15">
        <v>10</v>
      </c>
      <c r="AB9" s="15">
        <v>10</v>
      </c>
      <c r="AC9" s="15">
        <v>10</v>
      </c>
      <c r="AD9" s="15">
        <v>10</v>
      </c>
      <c r="AE9" s="15">
        <v>10</v>
      </c>
      <c r="AF9" s="15">
        <v>10</v>
      </c>
      <c r="AG9" s="15">
        <v>10</v>
      </c>
      <c r="AH9" s="15">
        <v>10</v>
      </c>
      <c r="AI9" s="15">
        <v>10</v>
      </c>
      <c r="AJ9" s="15">
        <v>10</v>
      </c>
      <c r="AK9" s="15">
        <v>10</v>
      </c>
      <c r="AL9" s="15">
        <v>10</v>
      </c>
      <c r="AM9" s="15">
        <v>10</v>
      </c>
      <c r="AN9" s="15">
        <v>10</v>
      </c>
      <c r="AO9" s="15">
        <v>10</v>
      </c>
      <c r="AP9" s="15">
        <v>10</v>
      </c>
      <c r="AQ9" s="15">
        <v>10</v>
      </c>
      <c r="AR9" s="15">
        <v>10</v>
      </c>
      <c r="AS9" s="15">
        <v>10</v>
      </c>
      <c r="AT9" s="15">
        <v>10</v>
      </c>
      <c r="AU9" s="15">
        <v>10</v>
      </c>
      <c r="AV9" s="15">
        <v>10</v>
      </c>
      <c r="AW9" s="15">
        <v>10</v>
      </c>
      <c r="AX9" s="15">
        <v>10</v>
      </c>
      <c r="AY9" s="15">
        <v>10</v>
      </c>
      <c r="AZ9" s="15">
        <v>10</v>
      </c>
      <c r="BA9" s="15">
        <v>10</v>
      </c>
      <c r="BB9" s="15">
        <v>10</v>
      </c>
      <c r="BC9" s="15">
        <v>10</v>
      </c>
      <c r="BD9" s="15">
        <v>10</v>
      </c>
      <c r="BE9" s="15">
        <v>10</v>
      </c>
      <c r="BF9" s="15">
        <v>10</v>
      </c>
      <c r="BG9" s="15">
        <v>10</v>
      </c>
      <c r="BH9" s="15">
        <v>10</v>
      </c>
      <c r="BI9" s="15">
        <v>10</v>
      </c>
      <c r="BJ9" s="15">
        <v>10</v>
      </c>
      <c r="BK9" s="15">
        <v>10</v>
      </c>
    </row>
    <row r="10" spans="2:702" ht="15" customHeight="1" x14ac:dyDescent="0.2">
      <c r="B10" s="4" t="s">
        <v>41</v>
      </c>
      <c r="C10" s="15">
        <v>35</v>
      </c>
      <c r="D10" s="15">
        <v>35</v>
      </c>
      <c r="E10" s="15">
        <v>35</v>
      </c>
      <c r="F10" s="15">
        <v>35</v>
      </c>
      <c r="G10" s="15">
        <v>35</v>
      </c>
      <c r="H10" s="15">
        <v>35</v>
      </c>
      <c r="I10" s="15">
        <v>35</v>
      </c>
      <c r="J10" s="15">
        <v>35</v>
      </c>
      <c r="K10" s="15">
        <v>35</v>
      </c>
      <c r="L10" s="15">
        <v>35</v>
      </c>
      <c r="M10" s="15">
        <v>35</v>
      </c>
      <c r="N10" s="15">
        <v>35</v>
      </c>
      <c r="O10" s="15">
        <v>35</v>
      </c>
      <c r="P10" s="15">
        <v>35</v>
      </c>
      <c r="Q10" s="15">
        <v>35</v>
      </c>
      <c r="R10" s="15">
        <v>35</v>
      </c>
      <c r="S10" s="15">
        <v>35</v>
      </c>
      <c r="T10" s="15">
        <v>35</v>
      </c>
      <c r="U10" s="15">
        <v>35</v>
      </c>
      <c r="V10" s="15">
        <v>35</v>
      </c>
      <c r="W10" s="15">
        <v>35</v>
      </c>
      <c r="X10" s="15">
        <v>35</v>
      </c>
      <c r="Y10" s="15">
        <v>35</v>
      </c>
      <c r="Z10" s="15">
        <v>35</v>
      </c>
      <c r="AA10" s="15">
        <v>35</v>
      </c>
      <c r="AB10" s="15">
        <v>35</v>
      </c>
      <c r="AC10" s="15">
        <v>35</v>
      </c>
      <c r="AD10" s="15">
        <v>35</v>
      </c>
      <c r="AE10" s="15">
        <v>35</v>
      </c>
      <c r="AF10" s="15">
        <v>35</v>
      </c>
      <c r="AG10" s="15">
        <v>35</v>
      </c>
      <c r="AH10" s="15">
        <v>35</v>
      </c>
      <c r="AI10" s="15">
        <v>35</v>
      </c>
      <c r="AJ10" s="15">
        <v>35</v>
      </c>
      <c r="AK10" s="15">
        <v>35</v>
      </c>
      <c r="AL10" s="15">
        <v>35</v>
      </c>
      <c r="AM10" s="15">
        <v>35</v>
      </c>
      <c r="AN10" s="15">
        <v>35</v>
      </c>
      <c r="AO10" s="15">
        <v>35</v>
      </c>
      <c r="AP10" s="15">
        <v>35</v>
      </c>
      <c r="AQ10" s="15">
        <v>35</v>
      </c>
      <c r="AR10" s="15">
        <v>35</v>
      </c>
      <c r="AS10" s="15">
        <v>35</v>
      </c>
      <c r="AT10" s="15">
        <v>35</v>
      </c>
      <c r="AU10" s="15">
        <v>35</v>
      </c>
      <c r="AV10" s="15">
        <v>35</v>
      </c>
      <c r="AW10" s="15">
        <v>35</v>
      </c>
      <c r="AX10" s="15">
        <v>35</v>
      </c>
      <c r="AY10" s="15">
        <v>35</v>
      </c>
      <c r="AZ10" s="15">
        <v>35</v>
      </c>
      <c r="BA10" s="15">
        <v>35</v>
      </c>
      <c r="BB10" s="15">
        <v>35</v>
      </c>
      <c r="BC10" s="15">
        <v>35</v>
      </c>
      <c r="BD10" s="15">
        <v>35</v>
      </c>
      <c r="BE10" s="15">
        <v>35</v>
      </c>
      <c r="BF10" s="15">
        <v>35</v>
      </c>
      <c r="BG10" s="15">
        <v>35</v>
      </c>
      <c r="BH10" s="15">
        <v>35</v>
      </c>
      <c r="BI10" s="15">
        <v>35</v>
      </c>
      <c r="BJ10" s="15">
        <v>35</v>
      </c>
      <c r="BK10" s="15">
        <v>35</v>
      </c>
    </row>
    <row r="11" spans="2:702" ht="26.25" customHeight="1" x14ac:dyDescent="0.2"/>
    <row r="12" spans="2:702" ht="15" customHeight="1" x14ac:dyDescent="0.2">
      <c r="B12" s="17" t="s">
        <v>31</v>
      </c>
      <c r="C12" s="8"/>
      <c r="D12" s="5"/>
      <c r="E12" s="5"/>
    </row>
    <row r="13" spans="2:702" s="22" customFormat="1" ht="15" customHeight="1" x14ac:dyDescent="0.2">
      <c r="B13" s="18"/>
      <c r="C13" s="19"/>
      <c r="D13" s="20"/>
      <c r="E13" s="20"/>
      <c r="F13" s="21"/>
      <c r="G13" s="21"/>
    </row>
    <row r="14" spans="2:702" ht="15" customHeight="1" x14ac:dyDescent="0.2">
      <c r="B14" s="10" t="s">
        <v>1</v>
      </c>
      <c r="C14" s="8"/>
      <c r="D14" s="5"/>
      <c r="E14" s="5"/>
    </row>
    <row r="15" spans="2:702" ht="15" customHeight="1" x14ac:dyDescent="0.2">
      <c r="B15" s="4" t="s">
        <v>50</v>
      </c>
      <c r="C15" s="15">
        <v>9</v>
      </c>
      <c r="D15" s="15">
        <v>9</v>
      </c>
      <c r="E15" s="15">
        <v>9</v>
      </c>
      <c r="F15" s="15">
        <v>9</v>
      </c>
      <c r="G15" s="15">
        <v>9</v>
      </c>
      <c r="H15" s="15">
        <v>9</v>
      </c>
      <c r="I15" s="15">
        <v>9</v>
      </c>
      <c r="J15" s="15">
        <v>9</v>
      </c>
      <c r="K15" s="15">
        <v>9</v>
      </c>
      <c r="L15" s="15">
        <v>9</v>
      </c>
      <c r="M15" s="15">
        <v>9</v>
      </c>
      <c r="N15" s="15">
        <v>9</v>
      </c>
      <c r="O15" s="15">
        <v>9</v>
      </c>
      <c r="P15" s="15">
        <v>9</v>
      </c>
      <c r="Q15" s="15">
        <v>9</v>
      </c>
      <c r="R15" s="15">
        <v>9</v>
      </c>
      <c r="S15" s="15">
        <v>9</v>
      </c>
      <c r="T15" s="15">
        <v>9</v>
      </c>
      <c r="U15" s="15">
        <v>9</v>
      </c>
      <c r="V15" s="15">
        <v>9</v>
      </c>
      <c r="W15" s="15">
        <v>9</v>
      </c>
      <c r="X15" s="15">
        <v>9</v>
      </c>
      <c r="Y15" s="15">
        <v>9</v>
      </c>
      <c r="Z15" s="15">
        <v>9</v>
      </c>
      <c r="AA15" s="15">
        <v>9</v>
      </c>
      <c r="AB15" s="15">
        <v>9</v>
      </c>
      <c r="AC15" s="15">
        <v>9</v>
      </c>
      <c r="AD15" s="15">
        <v>9</v>
      </c>
      <c r="AE15" s="15">
        <v>9</v>
      </c>
      <c r="AF15" s="15">
        <v>9</v>
      </c>
      <c r="AG15" s="15">
        <v>9</v>
      </c>
      <c r="AH15" s="15">
        <v>9</v>
      </c>
      <c r="AI15" s="15">
        <v>9</v>
      </c>
      <c r="AJ15" s="15">
        <v>9</v>
      </c>
      <c r="AK15" s="15">
        <v>9</v>
      </c>
      <c r="AL15" s="15">
        <v>9</v>
      </c>
      <c r="AM15" s="15">
        <v>9</v>
      </c>
      <c r="AN15" s="15">
        <v>9</v>
      </c>
      <c r="AO15" s="15">
        <v>9</v>
      </c>
      <c r="AP15" s="15">
        <v>9</v>
      </c>
      <c r="AQ15" s="15">
        <v>9</v>
      </c>
      <c r="AR15" s="15">
        <v>9</v>
      </c>
      <c r="AS15" s="15">
        <v>9</v>
      </c>
      <c r="AT15" s="15">
        <v>9</v>
      </c>
      <c r="AU15" s="15">
        <v>9</v>
      </c>
      <c r="AV15" s="15">
        <v>9</v>
      </c>
      <c r="AW15" s="15">
        <v>9</v>
      </c>
      <c r="AX15" s="15">
        <v>9</v>
      </c>
      <c r="AY15" s="15">
        <v>9</v>
      </c>
      <c r="AZ15" s="15">
        <v>9</v>
      </c>
      <c r="BA15" s="15">
        <v>9</v>
      </c>
      <c r="BB15" s="15">
        <v>9</v>
      </c>
      <c r="BC15" s="15">
        <v>9</v>
      </c>
      <c r="BD15" s="15">
        <v>9</v>
      </c>
      <c r="BE15" s="15">
        <v>9</v>
      </c>
      <c r="BF15" s="15">
        <v>9</v>
      </c>
      <c r="BG15" s="15">
        <v>9</v>
      </c>
      <c r="BH15" s="15">
        <v>9</v>
      </c>
      <c r="BI15" s="15">
        <v>9</v>
      </c>
      <c r="BJ15" s="15">
        <v>9</v>
      </c>
      <c r="BK15" s="15">
        <v>9</v>
      </c>
    </row>
    <row r="16" spans="2:702" ht="15" customHeight="1" x14ac:dyDescent="0.2">
      <c r="B16" s="4" t="s">
        <v>51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</row>
    <row r="17" spans="2:63" ht="15" customHeight="1" x14ac:dyDescent="0.2">
      <c r="B17" s="4" t="s">
        <v>52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</row>
    <row r="18" spans="2:63" ht="15" customHeight="1" x14ac:dyDescent="0.2">
      <c r="B18" s="4" t="s">
        <v>53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</row>
    <row r="20" spans="2:63" ht="15" customHeight="1" x14ac:dyDescent="0.2">
      <c r="B20" s="10" t="s">
        <v>9</v>
      </c>
      <c r="C20" s="8"/>
      <c r="D20" s="5"/>
      <c r="E20" s="5"/>
    </row>
    <row r="21" spans="2:63" ht="15" customHeight="1" x14ac:dyDescent="0.2">
      <c r="B21" s="4" t="s">
        <v>50</v>
      </c>
      <c r="C21" s="15">
        <v>16</v>
      </c>
      <c r="D21" s="15">
        <v>16</v>
      </c>
      <c r="E21" s="15">
        <v>16</v>
      </c>
      <c r="F21" s="15">
        <v>16</v>
      </c>
      <c r="G21" s="15">
        <v>16</v>
      </c>
      <c r="H21" s="15">
        <v>16</v>
      </c>
      <c r="I21" s="15">
        <v>16</v>
      </c>
      <c r="J21" s="15">
        <v>16</v>
      </c>
      <c r="K21" s="15">
        <v>16</v>
      </c>
      <c r="L21" s="15">
        <v>16</v>
      </c>
      <c r="M21" s="15">
        <v>16</v>
      </c>
      <c r="N21" s="15">
        <v>16</v>
      </c>
      <c r="O21" s="15">
        <v>16</v>
      </c>
      <c r="P21" s="15">
        <v>16</v>
      </c>
      <c r="Q21" s="15">
        <v>16</v>
      </c>
      <c r="R21" s="15">
        <v>16</v>
      </c>
      <c r="S21" s="15">
        <v>16</v>
      </c>
      <c r="T21" s="15">
        <v>16</v>
      </c>
      <c r="U21" s="15">
        <v>16</v>
      </c>
      <c r="V21" s="15">
        <v>16</v>
      </c>
      <c r="W21" s="15">
        <v>16</v>
      </c>
      <c r="X21" s="15">
        <v>16</v>
      </c>
      <c r="Y21" s="15">
        <v>16</v>
      </c>
      <c r="Z21" s="15">
        <v>16</v>
      </c>
      <c r="AA21" s="15">
        <v>16</v>
      </c>
      <c r="AB21" s="15">
        <v>16</v>
      </c>
      <c r="AC21" s="15">
        <v>16</v>
      </c>
      <c r="AD21" s="15">
        <v>16</v>
      </c>
      <c r="AE21" s="15">
        <v>16</v>
      </c>
      <c r="AF21" s="15">
        <v>16</v>
      </c>
      <c r="AG21" s="15">
        <v>16</v>
      </c>
      <c r="AH21" s="15">
        <v>16</v>
      </c>
      <c r="AI21" s="15">
        <v>16</v>
      </c>
      <c r="AJ21" s="15">
        <v>16</v>
      </c>
      <c r="AK21" s="15">
        <v>16</v>
      </c>
      <c r="AL21" s="15">
        <v>16</v>
      </c>
      <c r="AM21" s="15">
        <v>16</v>
      </c>
      <c r="AN21" s="15">
        <v>16</v>
      </c>
      <c r="AO21" s="15">
        <v>16</v>
      </c>
      <c r="AP21" s="15">
        <v>16</v>
      </c>
      <c r="AQ21" s="15">
        <v>16</v>
      </c>
      <c r="AR21" s="15">
        <v>16</v>
      </c>
      <c r="AS21" s="15">
        <v>16</v>
      </c>
      <c r="AT21" s="15">
        <v>16</v>
      </c>
      <c r="AU21" s="15">
        <v>16</v>
      </c>
      <c r="AV21" s="15">
        <v>16</v>
      </c>
      <c r="AW21" s="15">
        <v>16</v>
      </c>
      <c r="AX21" s="15">
        <v>16</v>
      </c>
      <c r="AY21" s="15">
        <v>16</v>
      </c>
      <c r="AZ21" s="15">
        <v>16</v>
      </c>
      <c r="BA21" s="15">
        <v>16</v>
      </c>
      <c r="BB21" s="15">
        <v>16</v>
      </c>
      <c r="BC21" s="15">
        <v>16</v>
      </c>
      <c r="BD21" s="15">
        <v>16</v>
      </c>
      <c r="BE21" s="15">
        <v>16</v>
      </c>
      <c r="BF21" s="15">
        <v>16</v>
      </c>
      <c r="BG21" s="15">
        <v>16</v>
      </c>
      <c r="BH21" s="15">
        <v>16</v>
      </c>
      <c r="BI21" s="15">
        <v>16</v>
      </c>
      <c r="BJ21" s="15">
        <v>16</v>
      </c>
      <c r="BK21" s="15">
        <v>16</v>
      </c>
    </row>
    <row r="22" spans="2:63" ht="15" customHeight="1" x14ac:dyDescent="0.2">
      <c r="B22" s="4" t="s">
        <v>51</v>
      </c>
      <c r="C22" s="15">
        <v>12.528798858839997</v>
      </c>
      <c r="D22" s="15">
        <v>12.528798858839997</v>
      </c>
      <c r="E22" s="15">
        <v>12.528798858839997</v>
      </c>
      <c r="F22" s="15">
        <v>12.528798858839997</v>
      </c>
      <c r="G22" s="15">
        <v>12.528798858839997</v>
      </c>
      <c r="H22" s="15">
        <v>12.528798858839997</v>
      </c>
      <c r="I22" s="15">
        <v>12.528798858839997</v>
      </c>
      <c r="J22" s="15">
        <v>12.528798858839997</v>
      </c>
      <c r="K22" s="15">
        <v>12.528798858839997</v>
      </c>
      <c r="L22" s="15">
        <v>12.528798858839997</v>
      </c>
      <c r="M22" s="15">
        <v>12.528798858839997</v>
      </c>
      <c r="N22" s="15">
        <v>12.528798858839997</v>
      </c>
      <c r="O22" s="15">
        <v>12.528798858839997</v>
      </c>
      <c r="P22" s="15">
        <v>12.528798858839997</v>
      </c>
      <c r="Q22" s="15">
        <v>12.528798858839997</v>
      </c>
      <c r="R22" s="15">
        <v>12.528798858839997</v>
      </c>
      <c r="S22" s="15">
        <v>12.528798858839997</v>
      </c>
      <c r="T22" s="15">
        <v>12.528798858839997</v>
      </c>
      <c r="U22" s="15">
        <v>12.528798858839997</v>
      </c>
      <c r="V22" s="15">
        <v>12.528798858839997</v>
      </c>
      <c r="W22" s="15">
        <v>12.528798858839997</v>
      </c>
      <c r="X22" s="15">
        <v>12.528798858839997</v>
      </c>
      <c r="Y22" s="15">
        <v>12.528798858839997</v>
      </c>
      <c r="Z22" s="15">
        <v>12.528798858839997</v>
      </c>
      <c r="AA22" s="15">
        <v>12.528798858839997</v>
      </c>
      <c r="AB22" s="15">
        <v>12.528798858839997</v>
      </c>
      <c r="AC22" s="15">
        <v>12.528798858839997</v>
      </c>
      <c r="AD22" s="15">
        <v>12.528798858839997</v>
      </c>
      <c r="AE22" s="15">
        <v>12.528798858839997</v>
      </c>
      <c r="AF22" s="15">
        <v>12.528798858839997</v>
      </c>
      <c r="AG22" s="15">
        <v>12.528798858839997</v>
      </c>
      <c r="AH22" s="15">
        <v>12.528798858839997</v>
      </c>
      <c r="AI22" s="15">
        <v>12.528798858839997</v>
      </c>
      <c r="AJ22" s="15">
        <v>12.528798858839997</v>
      </c>
      <c r="AK22" s="15">
        <v>12.528798858839997</v>
      </c>
      <c r="AL22" s="15">
        <v>12.528798858839997</v>
      </c>
      <c r="AM22" s="15">
        <v>12.528798858839997</v>
      </c>
      <c r="AN22" s="15">
        <v>12.528798858839997</v>
      </c>
      <c r="AO22" s="15">
        <v>12.528798858839997</v>
      </c>
      <c r="AP22" s="15">
        <v>12.528798858839997</v>
      </c>
      <c r="AQ22" s="15">
        <v>12.528798858839997</v>
      </c>
      <c r="AR22" s="15">
        <v>12.528798858839997</v>
      </c>
      <c r="AS22" s="15">
        <v>12.528798858839997</v>
      </c>
      <c r="AT22" s="15">
        <v>12.528798858839997</v>
      </c>
      <c r="AU22" s="15">
        <v>12.528798858839997</v>
      </c>
      <c r="AV22" s="15">
        <v>12.528798858839997</v>
      </c>
      <c r="AW22" s="15">
        <v>12.528798858839997</v>
      </c>
      <c r="AX22" s="15">
        <v>12.528798858839997</v>
      </c>
      <c r="AY22" s="15">
        <v>12.528798858839997</v>
      </c>
      <c r="AZ22" s="15">
        <v>12.528798858839997</v>
      </c>
      <c r="BA22" s="15">
        <v>12.528798858839997</v>
      </c>
      <c r="BB22" s="15">
        <v>12.528798858839997</v>
      </c>
      <c r="BC22" s="15">
        <v>12.528798858839997</v>
      </c>
      <c r="BD22" s="15">
        <v>12.528798858839997</v>
      </c>
      <c r="BE22" s="15">
        <v>12.528798858839997</v>
      </c>
      <c r="BF22" s="15">
        <v>12.528798858839997</v>
      </c>
      <c r="BG22" s="15">
        <v>12.528798858839997</v>
      </c>
      <c r="BH22" s="15">
        <v>12.528798858839997</v>
      </c>
      <c r="BI22" s="15">
        <v>12.528798858839997</v>
      </c>
      <c r="BJ22" s="15">
        <v>12.528798858839997</v>
      </c>
      <c r="BK22" s="15">
        <v>12.528798858839997</v>
      </c>
    </row>
    <row r="23" spans="2:63" ht="15" customHeight="1" x14ac:dyDescent="0.2">
      <c r="B23" s="4" t="s">
        <v>52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</row>
    <row r="24" spans="2:63" ht="15" customHeight="1" x14ac:dyDescent="0.2">
      <c r="B24" s="4" t="s">
        <v>53</v>
      </c>
      <c r="C24" s="15">
        <v>2.1</v>
      </c>
      <c r="D24" s="15">
        <v>2.1</v>
      </c>
      <c r="E24" s="15">
        <v>2.1</v>
      </c>
      <c r="F24" s="15">
        <v>2.1</v>
      </c>
      <c r="G24" s="15">
        <v>2.1</v>
      </c>
      <c r="H24" s="15">
        <v>2.1</v>
      </c>
      <c r="I24" s="15">
        <v>2.1</v>
      </c>
      <c r="J24" s="15">
        <v>2.1</v>
      </c>
      <c r="K24" s="15">
        <v>2.1</v>
      </c>
      <c r="L24" s="15">
        <v>2.1</v>
      </c>
      <c r="M24" s="15">
        <v>2.1</v>
      </c>
      <c r="N24" s="15">
        <v>2.1</v>
      </c>
      <c r="O24" s="15">
        <v>2.1</v>
      </c>
      <c r="P24" s="15">
        <v>2.1</v>
      </c>
      <c r="Q24" s="15">
        <v>2.1</v>
      </c>
      <c r="R24" s="15">
        <v>2.1</v>
      </c>
      <c r="S24" s="15">
        <v>2.1</v>
      </c>
      <c r="T24" s="15">
        <v>2.1</v>
      </c>
      <c r="U24" s="15">
        <v>2.1</v>
      </c>
      <c r="V24" s="15">
        <v>2.1</v>
      </c>
      <c r="W24" s="15">
        <v>2.1</v>
      </c>
      <c r="X24" s="15">
        <v>2.1</v>
      </c>
      <c r="Y24" s="15">
        <v>2.1</v>
      </c>
      <c r="Z24" s="15">
        <v>2.1</v>
      </c>
      <c r="AA24" s="15">
        <v>2.1</v>
      </c>
      <c r="AB24" s="15">
        <v>2.1</v>
      </c>
      <c r="AC24" s="15">
        <v>2.1</v>
      </c>
      <c r="AD24" s="15">
        <v>2.1</v>
      </c>
      <c r="AE24" s="15">
        <v>2.1</v>
      </c>
      <c r="AF24" s="15">
        <v>2.1</v>
      </c>
      <c r="AG24" s="15">
        <v>2.1</v>
      </c>
      <c r="AH24" s="15">
        <v>2.1</v>
      </c>
      <c r="AI24" s="15">
        <v>2.1</v>
      </c>
      <c r="AJ24" s="15">
        <v>2.1</v>
      </c>
      <c r="AK24" s="15">
        <v>2.1</v>
      </c>
      <c r="AL24" s="15">
        <v>2.1</v>
      </c>
      <c r="AM24" s="15">
        <v>2.1</v>
      </c>
      <c r="AN24" s="15">
        <v>2.1</v>
      </c>
      <c r="AO24" s="15">
        <v>2.1</v>
      </c>
      <c r="AP24" s="15">
        <v>2.1</v>
      </c>
      <c r="AQ24" s="15">
        <v>2.1</v>
      </c>
      <c r="AR24" s="15">
        <v>2.1</v>
      </c>
      <c r="AS24" s="15">
        <v>2.1</v>
      </c>
      <c r="AT24" s="15">
        <v>2.1</v>
      </c>
      <c r="AU24" s="15">
        <v>2.1</v>
      </c>
      <c r="AV24" s="15">
        <v>2.1</v>
      </c>
      <c r="AW24" s="15">
        <v>2.1</v>
      </c>
      <c r="AX24" s="15">
        <v>2.1</v>
      </c>
      <c r="AY24" s="15">
        <v>2.1</v>
      </c>
      <c r="AZ24" s="15">
        <v>2.1</v>
      </c>
      <c r="BA24" s="15">
        <v>2.1</v>
      </c>
      <c r="BB24" s="15">
        <v>2.1</v>
      </c>
      <c r="BC24" s="15">
        <v>2.1</v>
      </c>
      <c r="BD24" s="15">
        <v>2.1</v>
      </c>
      <c r="BE24" s="15">
        <v>2.1</v>
      </c>
      <c r="BF24" s="15">
        <v>2.1</v>
      </c>
      <c r="BG24" s="15">
        <v>2.1</v>
      </c>
      <c r="BH24" s="15">
        <v>2.1</v>
      </c>
      <c r="BI24" s="15">
        <v>2.1</v>
      </c>
      <c r="BJ24" s="15">
        <v>2.1</v>
      </c>
      <c r="BK24" s="15">
        <v>2.1</v>
      </c>
    </row>
    <row r="26" spans="2:63" ht="15" customHeight="1" x14ac:dyDescent="0.2">
      <c r="B26" s="10" t="s">
        <v>10</v>
      </c>
      <c r="C26" s="8"/>
      <c r="D26" s="5"/>
      <c r="E26" s="5"/>
    </row>
    <row r="27" spans="2:63" ht="15" customHeight="1" x14ac:dyDescent="0.2">
      <c r="B27" s="4" t="s">
        <v>50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</row>
    <row r="28" spans="2:63" ht="15" customHeight="1" x14ac:dyDescent="0.2">
      <c r="B28" s="4" t="s">
        <v>51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</row>
    <row r="29" spans="2:63" ht="15" customHeight="1" x14ac:dyDescent="0.2">
      <c r="B29" s="4" t="s">
        <v>52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</row>
    <row r="30" spans="2:63" ht="15" customHeight="1" x14ac:dyDescent="0.2">
      <c r="B30" s="4" t="s">
        <v>53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</row>
    <row r="32" spans="2:63" ht="15" customHeight="1" x14ac:dyDescent="0.2">
      <c r="B32" s="10" t="s">
        <v>11</v>
      </c>
      <c r="C32" s="8"/>
      <c r="D32" s="5"/>
      <c r="E32" s="5"/>
    </row>
    <row r="33" spans="2:63" ht="15" customHeight="1" x14ac:dyDescent="0.2">
      <c r="B33" s="4" t="s">
        <v>50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</row>
    <row r="34" spans="2:63" ht="15" customHeight="1" x14ac:dyDescent="0.2">
      <c r="B34" s="4" t="s">
        <v>51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</row>
    <row r="35" spans="2:63" ht="15" customHeight="1" x14ac:dyDescent="0.2">
      <c r="B35" s="4" t="s">
        <v>52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</row>
    <row r="36" spans="2:63" ht="15" customHeight="1" x14ac:dyDescent="0.2">
      <c r="B36" s="4" t="s">
        <v>53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</row>
    <row r="38" spans="2:63" ht="15" customHeight="1" x14ac:dyDescent="0.2">
      <c r="B38" s="10" t="s">
        <v>12</v>
      </c>
      <c r="C38" s="8"/>
      <c r="D38" s="5"/>
      <c r="E38" s="5"/>
    </row>
    <row r="39" spans="2:63" ht="15" customHeight="1" x14ac:dyDescent="0.2">
      <c r="B39" s="4" t="s">
        <v>50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</row>
    <row r="40" spans="2:63" ht="15" customHeight="1" x14ac:dyDescent="0.2">
      <c r="B40" s="4" t="s">
        <v>51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</row>
    <row r="41" spans="2:63" ht="15" customHeight="1" x14ac:dyDescent="0.2">
      <c r="B41" s="4" t="s">
        <v>52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</row>
    <row r="42" spans="2:63" ht="15" customHeight="1" x14ac:dyDescent="0.2">
      <c r="B42" s="4" t="s">
        <v>53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</row>
    <row r="44" spans="2:63" ht="15" customHeight="1" x14ac:dyDescent="0.2">
      <c r="B44" s="10" t="s">
        <v>13</v>
      </c>
      <c r="C44" s="8"/>
      <c r="D44" s="5"/>
      <c r="E44" s="5"/>
    </row>
    <row r="45" spans="2:63" ht="15" customHeight="1" x14ac:dyDescent="0.2">
      <c r="B45" s="4" t="s">
        <v>50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</row>
    <row r="46" spans="2:63" ht="15" customHeight="1" x14ac:dyDescent="0.2">
      <c r="B46" s="4" t="s">
        <v>51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</row>
    <row r="47" spans="2:63" ht="15" customHeight="1" x14ac:dyDescent="0.2">
      <c r="B47" s="4" t="s">
        <v>52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</row>
    <row r="48" spans="2:63" ht="15" customHeight="1" x14ac:dyDescent="0.2">
      <c r="B48" s="4" t="s">
        <v>53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</row>
    <row r="50" spans="2:63" ht="15" customHeight="1" x14ac:dyDescent="0.2">
      <c r="B50" s="10" t="s">
        <v>14</v>
      </c>
      <c r="C50" s="8"/>
      <c r="D50" s="5"/>
      <c r="E50" s="5"/>
    </row>
    <row r="51" spans="2:63" ht="15" customHeight="1" x14ac:dyDescent="0.2">
      <c r="B51" s="4" t="s">
        <v>50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</row>
    <row r="52" spans="2:63" ht="15" customHeight="1" x14ac:dyDescent="0.2">
      <c r="B52" s="4" t="s">
        <v>51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</row>
    <row r="53" spans="2:63" ht="15" customHeight="1" x14ac:dyDescent="0.2">
      <c r="B53" s="4" t="s">
        <v>52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</row>
    <row r="54" spans="2:63" ht="15" customHeight="1" x14ac:dyDescent="0.2">
      <c r="B54" s="4" t="s">
        <v>53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</row>
    <row r="56" spans="2:63" ht="15" customHeight="1" x14ac:dyDescent="0.2">
      <c r="B56" s="10" t="s">
        <v>15</v>
      </c>
      <c r="C56" s="8"/>
      <c r="D56" s="5"/>
      <c r="E56" s="5"/>
    </row>
    <row r="57" spans="2:63" ht="15" customHeight="1" x14ac:dyDescent="0.2">
      <c r="B57" s="4" t="s">
        <v>50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</row>
    <row r="58" spans="2:63" ht="15" customHeight="1" x14ac:dyDescent="0.2">
      <c r="B58" s="4" t="s">
        <v>51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:63" ht="15" customHeight="1" x14ac:dyDescent="0.2">
      <c r="B59" s="4" t="s">
        <v>52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:63" ht="15" customHeight="1" x14ac:dyDescent="0.2">
      <c r="B60" s="4" t="s">
        <v>53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</row>
    <row r="62" spans="2:63" ht="15" customHeight="1" x14ac:dyDescent="0.2">
      <c r="B62" s="10" t="s">
        <v>16</v>
      </c>
      <c r="C62" s="8"/>
      <c r="D62" s="5"/>
      <c r="E62" s="5"/>
    </row>
    <row r="63" spans="2:63" ht="15" customHeight="1" x14ac:dyDescent="0.2">
      <c r="B63" s="4" t="s">
        <v>50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</row>
    <row r="64" spans="2:63" ht="15" customHeight="1" x14ac:dyDescent="0.2">
      <c r="B64" s="4" t="s">
        <v>51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</row>
    <row r="65" spans="2:63" ht="15" customHeight="1" x14ac:dyDescent="0.2">
      <c r="B65" s="4" t="s">
        <v>52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</row>
    <row r="66" spans="2:63" ht="15" customHeight="1" x14ac:dyDescent="0.2">
      <c r="B66" s="4" t="s">
        <v>53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</row>
    <row r="68" spans="2:63" ht="15" customHeight="1" x14ac:dyDescent="0.2">
      <c r="B68" s="10" t="s">
        <v>17</v>
      </c>
      <c r="C68" s="8"/>
      <c r="D68" s="5"/>
      <c r="E68" s="5"/>
    </row>
    <row r="69" spans="2:63" ht="15" customHeight="1" x14ac:dyDescent="0.2">
      <c r="B69" s="4" t="s">
        <v>50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</row>
    <row r="70" spans="2:63" ht="15" customHeight="1" x14ac:dyDescent="0.2">
      <c r="B70" s="4" t="s">
        <v>51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</row>
    <row r="71" spans="2:63" ht="15" customHeight="1" x14ac:dyDescent="0.2">
      <c r="B71" s="4" t="s">
        <v>52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</row>
    <row r="72" spans="2:63" ht="15" customHeight="1" x14ac:dyDescent="0.2">
      <c r="B72" s="4" t="s">
        <v>53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6629-ADA6-4398-941D-054F6CE09049}">
  <dimension ref="B1:ZZ26"/>
  <sheetViews>
    <sheetView showGridLines="0" workbookViewId="0">
      <selection activeCell="C9" sqref="C9"/>
    </sheetView>
  </sheetViews>
  <sheetFormatPr defaultColWidth="12.140625" defaultRowHeight="15" customHeight="1" x14ac:dyDescent="0.2"/>
  <cols>
    <col min="1" max="1" width="4.28515625" style="3" customWidth="1"/>
    <col min="2" max="2" width="22.8554687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s="2" customFormat="1" ht="15" customHeight="1" x14ac:dyDescent="0.2">
      <c r="C5" s="23">
        <f>Vehicles!C7</f>
        <v>1990</v>
      </c>
      <c r="D5" s="2">
        <f>IF(C$5="","",IF(C$5+1&lt;=Vehicles!$C$8,C$5+1,""))</f>
        <v>1991</v>
      </c>
      <c r="E5" s="2">
        <f>IF(D$5="","",IF(D$5+1&lt;=Vehicles!$C$8,D$5+1,""))</f>
        <v>1992</v>
      </c>
      <c r="F5" s="2">
        <f>IF(E$5="","",IF(E$5+1&lt;=Vehicles!$C$8,E$5+1,""))</f>
        <v>1993</v>
      </c>
      <c r="G5" s="2">
        <f>IF(F$5="","",IF(F$5+1&lt;=Vehicles!$C$8,F$5+1,""))</f>
        <v>1994</v>
      </c>
      <c r="H5" s="2">
        <f>IF(G$5="","",IF(G$5+1&lt;=Vehicles!$C$8,G$5+1,""))</f>
        <v>1995</v>
      </c>
      <c r="I5" s="2">
        <f>IF(H$5="","",IF(H$5+1&lt;=Vehicles!$C$8,H$5+1,""))</f>
        <v>1996</v>
      </c>
      <c r="J5" s="2">
        <f>IF(I$5="","",IF(I$5+1&lt;=Vehicles!$C$8,I$5+1,""))</f>
        <v>1997</v>
      </c>
      <c r="K5" s="2">
        <f>IF(J$5="","",IF(J$5+1&lt;=Vehicles!$C$8,J$5+1,""))</f>
        <v>1998</v>
      </c>
      <c r="L5" s="2">
        <f>IF(K$5="","",IF(K$5+1&lt;=Vehicles!$C$8,K$5+1,""))</f>
        <v>1999</v>
      </c>
      <c r="M5" s="2">
        <f>IF(L$5="","",IF(L$5+1&lt;=Vehicles!$C$8,L$5+1,""))</f>
        <v>2000</v>
      </c>
      <c r="N5" s="2">
        <f>IF(M$5="","",IF(M$5+1&lt;=Vehicles!$C$8,M$5+1,""))</f>
        <v>2001</v>
      </c>
      <c r="O5" s="2">
        <f>IF(N$5="","",IF(N$5+1&lt;=Vehicles!$C$8,N$5+1,""))</f>
        <v>2002</v>
      </c>
      <c r="P5" s="2">
        <f>IF(O$5="","",IF(O$5+1&lt;=Vehicles!$C$8,O$5+1,""))</f>
        <v>2003</v>
      </c>
      <c r="Q5" s="2">
        <f>IF(P$5="","",IF(P$5+1&lt;=Vehicles!$C$8,P$5+1,""))</f>
        <v>2004</v>
      </c>
      <c r="R5" s="2">
        <f>IF(Q$5="","",IF(Q$5+1&lt;=Vehicles!$C$8,Q$5+1,""))</f>
        <v>2005</v>
      </c>
      <c r="S5" s="2">
        <f>IF(R$5="","",IF(R$5+1&lt;=Vehicles!$C$8,R$5+1,""))</f>
        <v>2006</v>
      </c>
      <c r="T5" s="2">
        <f>IF(S$5="","",IF(S$5+1&lt;=Vehicles!$C$8,S$5+1,""))</f>
        <v>2007</v>
      </c>
      <c r="U5" s="2">
        <f>IF(T$5="","",IF(T$5+1&lt;=Vehicles!$C$8,T$5+1,""))</f>
        <v>2008</v>
      </c>
      <c r="V5" s="2">
        <f>IF(U$5="","",IF(U$5+1&lt;=Vehicles!$C$8,U$5+1,""))</f>
        <v>2009</v>
      </c>
      <c r="W5" s="2">
        <f>IF(V$5="","",IF(V$5+1&lt;=Vehicles!$C$8,V$5+1,""))</f>
        <v>2010</v>
      </c>
      <c r="X5" s="2">
        <f>IF(W$5="","",IF(W$5+1&lt;=Vehicles!$C$8,W$5+1,""))</f>
        <v>2011</v>
      </c>
      <c r="Y5" s="2">
        <f>IF(X$5="","",IF(X$5+1&lt;=Vehicles!$C$8,X$5+1,""))</f>
        <v>2012</v>
      </c>
      <c r="Z5" s="2">
        <f>IF(Y$5="","",IF(Y$5+1&lt;=Vehicles!$C$8,Y$5+1,""))</f>
        <v>2013</v>
      </c>
      <c r="AA5" s="2">
        <f>IF(Z$5="","",IF(Z$5+1&lt;=Vehicles!$C$8,Z$5+1,""))</f>
        <v>2014</v>
      </c>
      <c r="AB5" s="2">
        <f>IF(AA$5="","",IF(AA$5+1&lt;=Vehicles!$C$8,AA$5+1,""))</f>
        <v>2015</v>
      </c>
      <c r="AC5" s="2">
        <f>IF(AB$5="","",IF(AB$5+1&lt;=Vehicles!$C$8,AB$5+1,""))</f>
        <v>2016</v>
      </c>
      <c r="AD5" s="2">
        <f>IF(AC$5="","",IF(AC$5+1&lt;=Vehicles!$C$8,AC$5+1,""))</f>
        <v>2017</v>
      </c>
      <c r="AE5" s="2">
        <f>IF(AD$5="","",IF(AD$5+1&lt;=Vehicles!$C$8,AD$5+1,""))</f>
        <v>2018</v>
      </c>
      <c r="AF5" s="2">
        <f>IF(AE$5="","",IF(AE$5+1&lt;=Vehicles!$C$8,AE$5+1,""))</f>
        <v>2019</v>
      </c>
      <c r="AG5" s="2">
        <f>IF(AF$5="","",IF(AF$5+1&lt;=Vehicles!$C$8,AF$5+1,""))</f>
        <v>2020</v>
      </c>
      <c r="AH5" s="2">
        <f>IF(AG$5="","",IF(AG$5+1&lt;=Vehicles!$C$8,AG$5+1,""))</f>
        <v>2021</v>
      </c>
      <c r="AI5" s="2">
        <f>IF(AH$5="","",IF(AH$5+1&lt;=Vehicles!$C$8,AH$5+1,""))</f>
        <v>2022</v>
      </c>
      <c r="AJ5" s="2">
        <f>IF(AI$5="","",IF(AI$5+1&lt;=Vehicles!$C$8,AI$5+1,""))</f>
        <v>2023</v>
      </c>
      <c r="AK5" s="2">
        <f>IF(AJ$5="","",IF(AJ$5+1&lt;=Vehicles!$C$8,AJ$5+1,""))</f>
        <v>2024</v>
      </c>
      <c r="AL5" s="2">
        <f>IF(AK$5="","",IF(AK$5+1&lt;=Vehicles!$C$8,AK$5+1,""))</f>
        <v>2025</v>
      </c>
      <c r="AM5" s="2">
        <f>IF(AL$5="","",IF(AL$5+1&lt;=Vehicles!$C$8,AL$5+1,""))</f>
        <v>2026</v>
      </c>
      <c r="AN5" s="2">
        <f>IF(AM$5="","",IF(AM$5+1&lt;=Vehicles!$C$8,AM$5+1,""))</f>
        <v>2027</v>
      </c>
      <c r="AO5" s="2">
        <f>IF(AN$5="","",IF(AN$5+1&lt;=Vehicles!$C$8,AN$5+1,""))</f>
        <v>2028</v>
      </c>
      <c r="AP5" s="2">
        <f>IF(AO$5="","",IF(AO$5+1&lt;=Vehicles!$C$8,AO$5+1,""))</f>
        <v>2029</v>
      </c>
      <c r="AQ5" s="2">
        <f>IF(AP$5="","",IF(AP$5+1&lt;=Vehicles!$C$8,AP$5+1,""))</f>
        <v>2030</v>
      </c>
      <c r="AR5" s="2">
        <f>IF(AQ$5="","",IF(AQ$5+1&lt;=Vehicles!$C$8,AQ$5+1,""))</f>
        <v>2031</v>
      </c>
      <c r="AS5" s="2">
        <f>IF(AR$5="","",IF(AR$5+1&lt;=Vehicles!$C$8,AR$5+1,""))</f>
        <v>2032</v>
      </c>
      <c r="AT5" s="2">
        <f>IF(AS$5="","",IF(AS$5+1&lt;=Vehicles!$C$8,AS$5+1,""))</f>
        <v>2033</v>
      </c>
      <c r="AU5" s="2">
        <f>IF(AT$5="","",IF(AT$5+1&lt;=Vehicles!$C$8,AT$5+1,""))</f>
        <v>2034</v>
      </c>
      <c r="AV5" s="2">
        <f>IF(AU$5="","",IF(AU$5+1&lt;=Vehicles!$C$8,AU$5+1,""))</f>
        <v>2035</v>
      </c>
      <c r="AW5" s="2">
        <f>IF(AV$5="","",IF(AV$5+1&lt;=Vehicles!$C$8,AV$5+1,""))</f>
        <v>2036</v>
      </c>
      <c r="AX5" s="2">
        <f>IF(AW$5="","",IF(AW$5+1&lt;=Vehicles!$C$8,AW$5+1,""))</f>
        <v>2037</v>
      </c>
      <c r="AY5" s="2">
        <f>IF(AX$5="","",IF(AX$5+1&lt;=Vehicles!$C$8,AX$5+1,""))</f>
        <v>2038</v>
      </c>
      <c r="AZ5" s="2">
        <f>IF(AY$5="","",IF(AY$5+1&lt;=Vehicles!$C$8,AY$5+1,""))</f>
        <v>2039</v>
      </c>
      <c r="BA5" s="2">
        <f>IF(AZ$5="","",IF(AZ$5+1&lt;=Vehicles!$C$8,AZ$5+1,""))</f>
        <v>2040</v>
      </c>
      <c r="BB5" s="2">
        <f>IF(BA$5="","",IF(BA$5+1&lt;=Vehicles!$C$8,BA$5+1,""))</f>
        <v>2041</v>
      </c>
      <c r="BC5" s="2">
        <f>IF(BB$5="","",IF(BB$5+1&lt;=Vehicles!$C$8,BB$5+1,""))</f>
        <v>2042</v>
      </c>
      <c r="BD5" s="2">
        <f>IF(BC$5="","",IF(BC$5+1&lt;=Vehicles!$C$8,BC$5+1,""))</f>
        <v>2043</v>
      </c>
      <c r="BE5" s="2">
        <f>IF(BD$5="","",IF(BD$5+1&lt;=Vehicles!$C$8,BD$5+1,""))</f>
        <v>2044</v>
      </c>
      <c r="BF5" s="2">
        <f>IF(BE$5="","",IF(BE$5+1&lt;=Vehicles!$C$8,BE$5+1,""))</f>
        <v>2045</v>
      </c>
      <c r="BG5" s="2">
        <f>IF(BF$5="","",IF(BF$5+1&lt;=Vehicles!$C$8,BF$5+1,""))</f>
        <v>2046</v>
      </c>
      <c r="BH5" s="2">
        <f>IF(BG$5="","",IF(BG$5+1&lt;=Vehicles!$C$8,BG$5+1,""))</f>
        <v>2047</v>
      </c>
      <c r="BI5" s="2">
        <f>IF(BH$5="","",IF(BH$5+1&lt;=Vehicles!$C$8,BH$5+1,""))</f>
        <v>2048</v>
      </c>
      <c r="BJ5" s="2">
        <f>IF(BI$5="","",IF(BI$5+1&lt;=Vehicles!$C$8,BI$5+1,""))</f>
        <v>2049</v>
      </c>
      <c r="BK5" s="2">
        <f>IF(BJ$5="","",IF(BJ$5+1&lt;=Vehicles!$C$8,BJ$5+1,""))</f>
        <v>2050</v>
      </c>
      <c r="BL5" s="2" t="str">
        <f>IF(BK$5="","",IF(BK$5+1&lt;=Vehicles!$C$8,BK$5+1,""))</f>
        <v/>
      </c>
      <c r="BM5" s="2" t="str">
        <f>IF(BL$5="","",IF(BL$5+1&lt;=Vehicles!$C$8,BL$5+1,""))</f>
        <v/>
      </c>
      <c r="BN5" s="2" t="str">
        <f>IF(BM$5="","",IF(BM$5+1&lt;=Vehicles!$C$8,BM$5+1,""))</f>
        <v/>
      </c>
      <c r="BO5" s="2" t="str">
        <f>IF(BN$5="","",IF(BN$5+1&lt;=Vehicles!$C$8,BN$5+1,""))</f>
        <v/>
      </c>
      <c r="BP5" s="2" t="str">
        <f>IF(BO$5="","",IF(BO$5+1&lt;=Vehicles!$C$8,BO$5+1,""))</f>
        <v/>
      </c>
      <c r="BQ5" s="2" t="str">
        <f>IF(BP$5="","",IF(BP$5+1&lt;=Vehicles!$C$8,BP$5+1,""))</f>
        <v/>
      </c>
      <c r="BR5" s="2" t="str">
        <f>IF(BQ$5="","",IF(BQ$5+1&lt;=Vehicles!$C$8,BQ$5+1,""))</f>
        <v/>
      </c>
      <c r="BS5" s="2" t="str">
        <f>IF(BR$5="","",IF(BR$5+1&lt;=Vehicles!$C$8,BR$5+1,""))</f>
        <v/>
      </c>
      <c r="BT5" s="2" t="str">
        <f>IF(BS$5="","",IF(BS$5+1&lt;=Vehicles!$C$8,BS$5+1,""))</f>
        <v/>
      </c>
      <c r="BU5" s="2" t="str">
        <f>IF(BT$5="","",IF(BT$5+1&lt;=Vehicles!$C$8,BT$5+1,""))</f>
        <v/>
      </c>
      <c r="BV5" s="2" t="str">
        <f>IF(BU$5="","",IF(BU$5+1&lt;=Vehicles!$C$8,BU$5+1,""))</f>
        <v/>
      </c>
      <c r="BW5" s="2" t="str">
        <f>IF(BV$5="","",IF(BV$5+1&lt;=Vehicles!$C$8,BV$5+1,""))</f>
        <v/>
      </c>
      <c r="BX5" s="2" t="str">
        <f>IF(BW$5="","",IF(BW$5+1&lt;=Vehicles!$C$8,BW$5+1,""))</f>
        <v/>
      </c>
      <c r="BY5" s="2" t="str">
        <f>IF(BX$5="","",IF(BX$5+1&lt;=Vehicles!$C$8,BX$5+1,""))</f>
        <v/>
      </c>
      <c r="BZ5" s="2" t="str">
        <f>IF(BY$5="","",IF(BY$5+1&lt;=Vehicles!$C$8,BY$5+1,""))</f>
        <v/>
      </c>
      <c r="CA5" s="2" t="str">
        <f>IF(BZ$5="","",IF(BZ$5+1&lt;=Vehicles!$C$8,BZ$5+1,""))</f>
        <v/>
      </c>
      <c r="CB5" s="2" t="str">
        <f>IF(CA$5="","",IF(CA$5+1&lt;=Vehicles!$C$8,CA$5+1,""))</f>
        <v/>
      </c>
      <c r="CC5" s="2" t="str">
        <f>IF(CB$5="","",IF(CB$5+1&lt;=Vehicles!$C$8,CB$5+1,""))</f>
        <v/>
      </c>
      <c r="CD5" s="2" t="str">
        <f>IF(CC$5="","",IF(CC$5+1&lt;=Vehicles!$C$8,CC$5+1,""))</f>
        <v/>
      </c>
      <c r="CE5" s="2" t="str">
        <f>IF(CD$5="","",IF(CD$5+1&lt;=Vehicles!$C$8,CD$5+1,""))</f>
        <v/>
      </c>
      <c r="CF5" s="2" t="str">
        <f>IF(CE$5="","",IF(CE$5+1&lt;=Vehicles!$C$8,CE$5+1,""))</f>
        <v/>
      </c>
      <c r="CG5" s="2" t="str">
        <f>IF(CF$5="","",IF(CF$5+1&lt;=Vehicles!$C$8,CF$5+1,""))</f>
        <v/>
      </c>
      <c r="CH5" s="2" t="str">
        <f>IF(CG$5="","",IF(CG$5+1&lt;=Vehicles!$C$8,CG$5+1,""))</f>
        <v/>
      </c>
      <c r="CI5" s="2" t="str">
        <f>IF(CH$5="","",IF(CH$5+1&lt;=Vehicles!$C$8,CH$5+1,""))</f>
        <v/>
      </c>
      <c r="CJ5" s="2" t="str">
        <f>IF(CI$5="","",IF(CI$5+1&lt;=Vehicles!$C$8,CI$5+1,""))</f>
        <v/>
      </c>
      <c r="CK5" s="2" t="str">
        <f>IF(CJ$5="","",IF(CJ$5+1&lt;=Vehicles!$C$8,CJ$5+1,""))</f>
        <v/>
      </c>
      <c r="CL5" s="2" t="str">
        <f>IF(CK$5="","",IF(CK$5+1&lt;=Vehicles!$C$8,CK$5+1,""))</f>
        <v/>
      </c>
      <c r="CM5" s="2" t="str">
        <f>IF(CL$5="","",IF(CL$5+1&lt;=Vehicles!$C$8,CL$5+1,""))</f>
        <v/>
      </c>
      <c r="CN5" s="2" t="str">
        <f>IF(CM$5="","",IF(CM$5+1&lt;=Vehicles!$C$8,CM$5+1,""))</f>
        <v/>
      </c>
      <c r="CO5" s="2" t="str">
        <f>IF(CN$5="","",IF(CN$5+1&lt;=Vehicles!$C$8,CN$5+1,""))</f>
        <v/>
      </c>
      <c r="CP5" s="2" t="str">
        <f>IF(CO$5="","",IF(CO$5+1&lt;=Vehicles!$C$8,CO$5+1,""))</f>
        <v/>
      </c>
      <c r="CQ5" s="2" t="str">
        <f>IF(CP$5="","",IF(CP$5+1&lt;=Vehicles!$C$8,CP$5+1,""))</f>
        <v/>
      </c>
      <c r="CR5" s="2" t="str">
        <f>IF(CQ$5="","",IF(CQ$5+1&lt;=Vehicles!$C$8,CQ$5+1,""))</f>
        <v/>
      </c>
      <c r="CS5" s="2" t="str">
        <f>IF(CR$5="","",IF(CR$5+1&lt;=Vehicles!$C$8,CR$5+1,""))</f>
        <v/>
      </c>
      <c r="CT5" s="2" t="str">
        <f>IF(CS$5="","",IF(CS$5+1&lt;=Vehicles!$C$8,CS$5+1,""))</f>
        <v/>
      </c>
      <c r="CU5" s="2" t="str">
        <f>IF(CT$5="","",IF(CT$5+1&lt;=Vehicles!$C$8,CT$5+1,""))</f>
        <v/>
      </c>
      <c r="CV5" s="2" t="str">
        <f>IF(CU$5="","",IF(CU$5+1&lt;=Vehicles!$C$8,CU$5+1,""))</f>
        <v/>
      </c>
      <c r="CW5" s="2" t="str">
        <f>IF(CV$5="","",IF(CV$5+1&lt;=Vehicles!$C$8,CV$5+1,""))</f>
        <v/>
      </c>
      <c r="CX5" s="2" t="str">
        <f>IF(CW$5="","",IF(CW$5+1&lt;=Vehicles!$C$8,CW$5+1,""))</f>
        <v/>
      </c>
      <c r="CY5" s="2" t="str">
        <f>IF(CX$5="","",IF(CX$5+1&lt;=Vehicles!$C$8,CX$5+1,""))</f>
        <v/>
      </c>
      <c r="CZ5" s="2" t="str">
        <f>IF(CY$5="","",IF(CY$5+1&lt;=Vehicles!$C$8,CY$5+1,""))</f>
        <v/>
      </c>
      <c r="DA5" s="2" t="str">
        <f>IF(CZ$5="","",IF(CZ$5+1&lt;=Vehicles!$C$8,CZ$5+1,""))</f>
        <v/>
      </c>
      <c r="DB5" s="2" t="str">
        <f>IF(DA$5="","",IF(DA$5+1&lt;=Vehicles!$C$8,DA$5+1,""))</f>
        <v/>
      </c>
      <c r="DC5" s="2" t="str">
        <f>IF(DB$5="","",IF(DB$5+1&lt;=Vehicles!$C$8,DB$5+1,""))</f>
        <v/>
      </c>
      <c r="DD5" s="2" t="str">
        <f>IF(DC$5="","",IF(DC$5+1&lt;=Vehicles!$C$8,DC$5+1,""))</f>
        <v/>
      </c>
      <c r="DE5" s="2" t="str">
        <f>IF(DD$5="","",IF(DD$5+1&lt;=Vehicles!$C$8,DD$5+1,""))</f>
        <v/>
      </c>
      <c r="DF5" s="2" t="str">
        <f>IF(DE$5="","",IF(DE$5+1&lt;=Vehicles!$C$8,DE$5+1,""))</f>
        <v/>
      </c>
      <c r="DG5" s="2" t="str">
        <f>IF(DF$5="","",IF(DF$5+1&lt;=Vehicles!$C$8,DF$5+1,""))</f>
        <v/>
      </c>
      <c r="DH5" s="2" t="str">
        <f>IF(DG$5="","",IF(DG$5+1&lt;=Vehicles!$C$8,DG$5+1,""))</f>
        <v/>
      </c>
      <c r="DI5" s="2" t="str">
        <f>IF(DH$5="","",IF(DH$5+1&lt;=Vehicles!$C$8,DH$5+1,""))</f>
        <v/>
      </c>
      <c r="DJ5" s="2" t="str">
        <f>IF(DI$5="","",IF(DI$5+1&lt;=Vehicles!$C$8,DI$5+1,""))</f>
        <v/>
      </c>
      <c r="DK5" s="2" t="str">
        <f>IF(DJ$5="","",IF(DJ$5+1&lt;=Vehicles!$C$8,DJ$5+1,""))</f>
        <v/>
      </c>
      <c r="DL5" s="2" t="str">
        <f>IF(DK$5="","",IF(DK$5+1&lt;=Vehicles!$C$8,DK$5+1,""))</f>
        <v/>
      </c>
      <c r="DM5" s="2" t="str">
        <f>IF(DL$5="","",IF(DL$5+1&lt;=Vehicles!$C$8,DL$5+1,""))</f>
        <v/>
      </c>
      <c r="DN5" s="2" t="str">
        <f>IF(DM$5="","",IF(DM$5+1&lt;=Vehicles!$C$8,DM$5+1,""))</f>
        <v/>
      </c>
      <c r="DO5" s="2" t="str">
        <f>IF(DN$5="","",IF(DN$5+1&lt;=Vehicles!$C$8,DN$5+1,""))</f>
        <v/>
      </c>
      <c r="DP5" s="2" t="str">
        <f>IF(DO$5="","",IF(DO$5+1&lt;=Vehicles!$C$8,DO$5+1,""))</f>
        <v/>
      </c>
      <c r="DQ5" s="2" t="str">
        <f>IF(DP$5="","",IF(DP$5+1&lt;=Vehicles!$C$8,DP$5+1,""))</f>
        <v/>
      </c>
      <c r="DR5" s="2" t="str">
        <f>IF(DQ$5="","",IF(DQ$5+1&lt;=Vehicles!$C$8,DQ$5+1,""))</f>
        <v/>
      </c>
      <c r="DS5" s="2" t="str">
        <f>IF(DR$5="","",IF(DR$5+1&lt;=Vehicles!$C$8,DR$5+1,""))</f>
        <v/>
      </c>
      <c r="DT5" s="2" t="str">
        <f>IF(DS$5="","",IF(DS$5+1&lt;=Vehicles!$C$8,DS$5+1,""))</f>
        <v/>
      </c>
      <c r="DU5" s="2" t="str">
        <f>IF(DT$5="","",IF(DT$5+1&lt;=Vehicles!$C$8,DT$5+1,""))</f>
        <v/>
      </c>
      <c r="DV5" s="2" t="str">
        <f>IF(DU$5="","",IF(DU$5+1&lt;=Vehicles!$C$8,DU$5+1,""))</f>
        <v/>
      </c>
      <c r="DW5" s="2" t="str">
        <f>IF(DV$5="","",IF(DV$5+1&lt;=Vehicles!$C$8,DV$5+1,""))</f>
        <v/>
      </c>
      <c r="DX5" s="2" t="str">
        <f>IF(DW$5="","",IF(DW$5+1&lt;=Vehicles!$C$8,DW$5+1,""))</f>
        <v/>
      </c>
      <c r="DY5" s="2" t="str">
        <f>IF(DX$5="","",IF(DX$5+1&lt;=Vehicles!$C$8,DX$5+1,""))</f>
        <v/>
      </c>
      <c r="DZ5" s="2" t="str">
        <f>IF(DY$5="","",IF(DY$5+1&lt;=Vehicles!$C$8,DY$5+1,""))</f>
        <v/>
      </c>
      <c r="EA5" s="2" t="str">
        <f>IF(DZ$5="","",IF(DZ$5+1&lt;=Vehicles!$C$8,DZ$5+1,""))</f>
        <v/>
      </c>
      <c r="EB5" s="2" t="str">
        <f>IF(EA$5="","",IF(EA$5+1&lt;=Vehicles!$C$8,EA$5+1,""))</f>
        <v/>
      </c>
      <c r="EC5" s="2" t="str">
        <f>IF(EB$5="","",IF(EB$5+1&lt;=Vehicles!$C$8,EB$5+1,""))</f>
        <v/>
      </c>
      <c r="ED5" s="2" t="str">
        <f>IF(EC$5="","",IF(EC$5+1&lt;=Vehicles!$C$8,EC$5+1,""))</f>
        <v/>
      </c>
      <c r="EE5" s="2" t="str">
        <f>IF(ED$5="","",IF(ED$5+1&lt;=Vehicles!$C$8,ED$5+1,""))</f>
        <v/>
      </c>
      <c r="EF5" s="2" t="str">
        <f>IF(EE$5="","",IF(EE$5+1&lt;=Vehicles!$C$8,EE$5+1,""))</f>
        <v/>
      </c>
      <c r="EG5" s="2" t="str">
        <f>IF(EF$5="","",IF(EF$5+1&lt;=Vehicles!$C$8,EF$5+1,""))</f>
        <v/>
      </c>
      <c r="EH5" s="2" t="str">
        <f>IF(EG$5="","",IF(EG$5+1&lt;=Vehicles!$C$8,EG$5+1,""))</f>
        <v/>
      </c>
      <c r="EI5" s="2" t="str">
        <f>IF(EH$5="","",IF(EH$5+1&lt;=Vehicles!$C$8,EH$5+1,""))</f>
        <v/>
      </c>
      <c r="EJ5" s="2" t="str">
        <f>IF(EI$5="","",IF(EI$5+1&lt;=Vehicles!$C$8,EI$5+1,""))</f>
        <v/>
      </c>
      <c r="EK5" s="2" t="str">
        <f>IF(EJ$5="","",IF(EJ$5+1&lt;=Vehicles!$C$8,EJ$5+1,""))</f>
        <v/>
      </c>
      <c r="EL5" s="2" t="str">
        <f>IF(EK$5="","",IF(EK$5+1&lt;=Vehicles!$C$8,EK$5+1,""))</f>
        <v/>
      </c>
      <c r="EM5" s="2" t="str">
        <f>IF(EL$5="","",IF(EL$5+1&lt;=Vehicles!$C$8,EL$5+1,""))</f>
        <v/>
      </c>
      <c r="EN5" s="2" t="str">
        <f>IF(EM$5="","",IF(EM$5+1&lt;=Vehicles!$C$8,EM$5+1,""))</f>
        <v/>
      </c>
      <c r="EO5" s="2" t="str">
        <f>IF(EN$5="","",IF(EN$5+1&lt;=Vehicles!$C$8,EN$5+1,""))</f>
        <v/>
      </c>
      <c r="EP5" s="2" t="str">
        <f>IF(EO$5="","",IF(EO$5+1&lt;=Vehicles!$C$8,EO$5+1,""))</f>
        <v/>
      </c>
      <c r="EQ5" s="2" t="str">
        <f>IF(EP$5="","",IF(EP$5+1&lt;=Vehicles!$C$8,EP$5+1,""))</f>
        <v/>
      </c>
      <c r="ER5" s="2" t="str">
        <f>IF(EQ$5="","",IF(EQ$5+1&lt;=Vehicles!$C$8,EQ$5+1,""))</f>
        <v/>
      </c>
      <c r="ES5" s="2" t="str">
        <f>IF(ER$5="","",IF(ER$5+1&lt;=Vehicles!$C$8,ER$5+1,""))</f>
        <v/>
      </c>
      <c r="ET5" s="2" t="str">
        <f>IF(ES$5="","",IF(ES$5+1&lt;=Vehicles!$C$8,ES$5+1,""))</f>
        <v/>
      </c>
      <c r="EU5" s="2" t="str">
        <f>IF(ET$5="","",IF(ET$5+1&lt;=Vehicles!$C$8,ET$5+1,""))</f>
        <v/>
      </c>
      <c r="EV5" s="2" t="str">
        <f>IF(EU$5="","",IF(EU$5+1&lt;=Vehicles!$C$8,EU$5+1,""))</f>
        <v/>
      </c>
      <c r="EW5" s="2" t="str">
        <f>IF(EV$5="","",IF(EV$5+1&lt;=Vehicles!$C$8,EV$5+1,""))</f>
        <v/>
      </c>
      <c r="EX5" s="2" t="str">
        <f>IF(EW$5="","",IF(EW$5+1&lt;=Vehicles!$C$8,EW$5+1,""))</f>
        <v/>
      </c>
      <c r="EY5" s="2" t="str">
        <f>IF(EX$5="","",IF(EX$5+1&lt;=Vehicles!$C$8,EX$5+1,""))</f>
        <v/>
      </c>
      <c r="EZ5" s="2" t="str">
        <f>IF(EY$5="","",IF(EY$5+1&lt;=Vehicles!$C$8,EY$5+1,""))</f>
        <v/>
      </c>
      <c r="FA5" s="2" t="str">
        <f>IF(EZ$5="","",IF(EZ$5+1&lt;=Vehicles!$C$8,EZ$5+1,""))</f>
        <v/>
      </c>
      <c r="FB5" s="2" t="str">
        <f>IF(FA$5="","",IF(FA$5+1&lt;=Vehicles!$C$8,FA$5+1,""))</f>
        <v/>
      </c>
      <c r="FC5" s="2" t="str">
        <f>IF(FB$5="","",IF(FB$5+1&lt;=Vehicles!$C$8,FB$5+1,""))</f>
        <v/>
      </c>
      <c r="FD5" s="2" t="str">
        <f>IF(FC$5="","",IF(FC$5+1&lt;=Vehicles!$C$8,FC$5+1,""))</f>
        <v/>
      </c>
      <c r="FE5" s="2" t="str">
        <f>IF(FD$5="","",IF(FD$5+1&lt;=Vehicles!$C$8,FD$5+1,""))</f>
        <v/>
      </c>
      <c r="FF5" s="2" t="str">
        <f>IF(FE$5="","",IF(FE$5+1&lt;=Vehicles!$C$8,FE$5+1,""))</f>
        <v/>
      </c>
      <c r="FG5" s="2" t="str">
        <f>IF(FF$5="","",IF(FF$5+1&lt;=Vehicles!$C$8,FF$5+1,""))</f>
        <v/>
      </c>
      <c r="FH5" s="2" t="str">
        <f>IF(FG$5="","",IF(FG$5+1&lt;=Vehicles!$C$8,FG$5+1,""))</f>
        <v/>
      </c>
      <c r="FI5" s="2" t="str">
        <f>IF(FH$5="","",IF(FH$5+1&lt;=Vehicles!$C$8,FH$5+1,""))</f>
        <v/>
      </c>
      <c r="FJ5" s="2" t="str">
        <f>IF(FI$5="","",IF(FI$5+1&lt;=Vehicles!$C$8,FI$5+1,""))</f>
        <v/>
      </c>
      <c r="FK5" s="2" t="str">
        <f>IF(FJ$5="","",IF(FJ$5+1&lt;=Vehicles!$C$8,FJ$5+1,""))</f>
        <v/>
      </c>
      <c r="FL5" s="2" t="str">
        <f>IF(FK$5="","",IF(FK$5+1&lt;=Vehicles!$C$8,FK$5+1,""))</f>
        <v/>
      </c>
      <c r="FM5" s="2" t="str">
        <f>IF(FL$5="","",IF(FL$5+1&lt;=Vehicles!$C$8,FL$5+1,""))</f>
        <v/>
      </c>
      <c r="FN5" s="2" t="str">
        <f>IF(FM$5="","",IF(FM$5+1&lt;=Vehicles!$C$8,FM$5+1,""))</f>
        <v/>
      </c>
      <c r="FO5" s="2" t="str">
        <f>IF(FN$5="","",IF(FN$5+1&lt;=Vehicles!$C$8,FN$5+1,""))</f>
        <v/>
      </c>
      <c r="FP5" s="2" t="str">
        <f>IF(FO$5="","",IF(FO$5+1&lt;=Vehicles!$C$8,FO$5+1,""))</f>
        <v/>
      </c>
      <c r="FQ5" s="2" t="str">
        <f>IF(FP$5="","",IF(FP$5+1&lt;=Vehicles!$C$8,FP$5+1,""))</f>
        <v/>
      </c>
      <c r="FR5" s="2" t="str">
        <f>IF(FQ$5="","",IF(FQ$5+1&lt;=Vehicles!$C$8,FQ$5+1,""))</f>
        <v/>
      </c>
      <c r="FS5" s="2" t="str">
        <f>IF(FR$5="","",IF(FR$5+1&lt;=Vehicles!$C$8,FR$5+1,""))</f>
        <v/>
      </c>
      <c r="FT5" s="2" t="str">
        <f>IF(FS$5="","",IF(FS$5+1&lt;=Vehicles!$C$8,FS$5+1,""))</f>
        <v/>
      </c>
      <c r="FU5" s="2" t="str">
        <f>IF(FT$5="","",IF(FT$5+1&lt;=Vehicles!$C$8,FT$5+1,""))</f>
        <v/>
      </c>
      <c r="FV5" s="2" t="str">
        <f>IF(FU$5="","",IF(FU$5+1&lt;=Vehicles!$C$8,FU$5+1,""))</f>
        <v/>
      </c>
      <c r="FW5" s="2" t="str">
        <f>IF(FV$5="","",IF(FV$5+1&lt;=Vehicles!$C$8,FV$5+1,""))</f>
        <v/>
      </c>
      <c r="FX5" s="2" t="str">
        <f>IF(FW$5="","",IF(FW$5+1&lt;=Vehicles!$C$8,FW$5+1,""))</f>
        <v/>
      </c>
      <c r="FY5" s="2" t="str">
        <f>IF(FX$5="","",IF(FX$5+1&lt;=Vehicles!$C$8,FX$5+1,""))</f>
        <v/>
      </c>
      <c r="FZ5" s="2" t="str">
        <f>IF(FY$5="","",IF(FY$5+1&lt;=Vehicles!$C$8,FY$5+1,""))</f>
        <v/>
      </c>
      <c r="GA5" s="2" t="str">
        <f>IF(FZ$5="","",IF(FZ$5+1&lt;=Vehicles!$C$8,FZ$5+1,""))</f>
        <v/>
      </c>
      <c r="GB5" s="2" t="str">
        <f>IF(GA$5="","",IF(GA$5+1&lt;=Vehicles!$C$8,GA$5+1,""))</f>
        <v/>
      </c>
      <c r="GC5" s="2" t="str">
        <f>IF(GB$5="","",IF(GB$5+1&lt;=Vehicles!$C$8,GB$5+1,""))</f>
        <v/>
      </c>
      <c r="GD5" s="2" t="str">
        <f>IF(GC$5="","",IF(GC$5+1&lt;=Vehicles!$C$8,GC$5+1,""))</f>
        <v/>
      </c>
      <c r="GE5" s="2" t="str">
        <f>IF(GD$5="","",IF(GD$5+1&lt;=Vehicles!$C$8,GD$5+1,""))</f>
        <v/>
      </c>
      <c r="GF5" s="2" t="str">
        <f>IF(GE$5="","",IF(GE$5+1&lt;=Vehicles!$C$8,GE$5+1,""))</f>
        <v/>
      </c>
      <c r="GG5" s="2" t="str">
        <f>IF(GF$5="","",IF(GF$5+1&lt;=Vehicles!$C$8,GF$5+1,""))</f>
        <v/>
      </c>
      <c r="GH5" s="2" t="str">
        <f>IF(GG$5="","",IF(GG$5+1&lt;=Vehicles!$C$8,GG$5+1,""))</f>
        <v/>
      </c>
      <c r="GI5" s="2" t="str">
        <f>IF(GH$5="","",IF(GH$5+1&lt;=Vehicles!$C$8,GH$5+1,""))</f>
        <v/>
      </c>
      <c r="GJ5" s="2" t="str">
        <f>IF(GI$5="","",IF(GI$5+1&lt;=Vehicles!$C$8,GI$5+1,""))</f>
        <v/>
      </c>
      <c r="GK5" s="2" t="str">
        <f>IF(GJ$5="","",IF(GJ$5+1&lt;=Vehicles!$C$8,GJ$5+1,""))</f>
        <v/>
      </c>
      <c r="GL5" s="2" t="str">
        <f>IF(GK$5="","",IF(GK$5+1&lt;=Vehicles!$C$8,GK$5+1,""))</f>
        <v/>
      </c>
      <c r="GM5" s="2" t="str">
        <f>IF(GL$5="","",IF(GL$5+1&lt;=Vehicles!$C$8,GL$5+1,""))</f>
        <v/>
      </c>
      <c r="GN5" s="2" t="str">
        <f>IF(GM$5="","",IF(GM$5+1&lt;=Vehicles!$C$8,GM$5+1,""))</f>
        <v/>
      </c>
      <c r="GO5" s="2" t="str">
        <f>IF(GN$5="","",IF(GN$5+1&lt;=Vehicles!$C$8,GN$5+1,""))</f>
        <v/>
      </c>
      <c r="GP5" s="2" t="str">
        <f>IF(GO$5="","",IF(GO$5+1&lt;=Vehicles!$C$8,GO$5+1,""))</f>
        <v/>
      </c>
      <c r="GQ5" s="2" t="str">
        <f>IF(GP$5="","",IF(GP$5+1&lt;=Vehicles!$C$8,GP$5+1,""))</f>
        <v/>
      </c>
      <c r="GR5" s="2" t="str">
        <f>IF(GQ$5="","",IF(GQ$5+1&lt;=Vehicles!$C$8,GQ$5+1,""))</f>
        <v/>
      </c>
      <c r="GS5" s="2" t="str">
        <f>IF(GR$5="","",IF(GR$5+1&lt;=Vehicles!$C$8,GR$5+1,""))</f>
        <v/>
      </c>
      <c r="GT5" s="2" t="str">
        <f>IF(GS$5="","",IF(GS$5+1&lt;=Vehicles!$C$8,GS$5+1,""))</f>
        <v/>
      </c>
      <c r="GU5" s="2" t="str">
        <f>IF(GT$5="","",IF(GT$5+1&lt;=Vehicles!$C$8,GT$5+1,""))</f>
        <v/>
      </c>
      <c r="GV5" s="2" t="str">
        <f>IF(GU$5="","",IF(GU$5+1&lt;=Vehicles!$C$8,GU$5+1,""))</f>
        <v/>
      </c>
      <c r="GW5" s="2" t="str">
        <f>IF(GV$5="","",IF(GV$5+1&lt;=Vehicles!$C$8,GV$5+1,""))</f>
        <v/>
      </c>
      <c r="GX5" s="2" t="str">
        <f>IF(GW$5="","",IF(GW$5+1&lt;=Vehicles!$C$8,GW$5+1,""))</f>
        <v/>
      </c>
      <c r="GY5" s="2" t="str">
        <f>IF(GX$5="","",IF(GX$5+1&lt;=Vehicles!$C$8,GX$5+1,""))</f>
        <v/>
      </c>
      <c r="GZ5" s="2" t="str">
        <f>IF(GY$5="","",IF(GY$5+1&lt;=Vehicles!$C$8,GY$5+1,""))</f>
        <v/>
      </c>
      <c r="HA5" s="2" t="str">
        <f>IF(GZ$5="","",IF(GZ$5+1&lt;=Vehicles!$C$8,GZ$5+1,""))</f>
        <v/>
      </c>
      <c r="HB5" s="2" t="str">
        <f>IF(HA$5="","",IF(HA$5+1&lt;=Vehicles!$C$8,HA$5+1,""))</f>
        <v/>
      </c>
      <c r="HC5" s="2" t="str">
        <f>IF(HB$5="","",IF(HB$5+1&lt;=Vehicles!$C$8,HB$5+1,""))</f>
        <v/>
      </c>
      <c r="HD5" s="2" t="str">
        <f>IF(HC$5="","",IF(HC$5+1&lt;=Vehicles!$C$8,HC$5+1,""))</f>
        <v/>
      </c>
      <c r="HE5" s="2" t="str">
        <f>IF(HD$5="","",IF(HD$5+1&lt;=Vehicles!$C$8,HD$5+1,""))</f>
        <v/>
      </c>
      <c r="HF5" s="2" t="str">
        <f>IF(HE$5="","",IF(HE$5+1&lt;=Vehicles!$C$8,HE$5+1,""))</f>
        <v/>
      </c>
      <c r="HG5" s="2" t="str">
        <f>IF(HF$5="","",IF(HF$5+1&lt;=Vehicles!$C$8,HF$5+1,""))</f>
        <v/>
      </c>
      <c r="HH5" s="2" t="str">
        <f>IF(HG$5="","",IF(HG$5+1&lt;=Vehicles!$C$8,HG$5+1,""))</f>
        <v/>
      </c>
      <c r="HI5" s="2" t="str">
        <f>IF(HH$5="","",IF(HH$5+1&lt;=Vehicles!$C$8,HH$5+1,""))</f>
        <v/>
      </c>
      <c r="HJ5" s="2" t="str">
        <f>IF(HI$5="","",IF(HI$5+1&lt;=Vehicles!$C$8,HI$5+1,""))</f>
        <v/>
      </c>
      <c r="HK5" s="2" t="str">
        <f>IF(HJ$5="","",IF(HJ$5+1&lt;=Vehicles!$C$8,HJ$5+1,""))</f>
        <v/>
      </c>
      <c r="HL5" s="2" t="str">
        <f>IF(HK$5="","",IF(HK$5+1&lt;=Vehicles!$C$8,HK$5+1,""))</f>
        <v/>
      </c>
      <c r="HM5" s="2" t="str">
        <f>IF(HL$5="","",IF(HL$5+1&lt;=Vehicles!$C$8,HL$5+1,""))</f>
        <v/>
      </c>
      <c r="HN5" s="2" t="str">
        <f>IF(HM$5="","",IF(HM$5+1&lt;=Vehicles!$C$8,HM$5+1,""))</f>
        <v/>
      </c>
      <c r="HO5" s="2" t="str">
        <f>IF(HN$5="","",IF(HN$5+1&lt;=Vehicles!$C$8,HN$5+1,""))</f>
        <v/>
      </c>
      <c r="HP5" s="2" t="str">
        <f>IF(HO$5="","",IF(HO$5+1&lt;=Vehicles!$C$8,HO$5+1,""))</f>
        <v/>
      </c>
      <c r="HQ5" s="2" t="str">
        <f>IF(HP$5="","",IF(HP$5+1&lt;=Vehicles!$C$8,HP$5+1,""))</f>
        <v/>
      </c>
      <c r="HR5" s="2" t="str">
        <f>IF(HQ$5="","",IF(HQ$5+1&lt;=Vehicles!$C$8,HQ$5+1,""))</f>
        <v/>
      </c>
      <c r="HS5" s="2" t="str">
        <f>IF(HR$5="","",IF(HR$5+1&lt;=Vehicles!$C$8,HR$5+1,""))</f>
        <v/>
      </c>
      <c r="HT5" s="2" t="str">
        <f>IF(HS$5="","",IF(HS$5+1&lt;=Vehicles!$C$8,HS$5+1,""))</f>
        <v/>
      </c>
      <c r="HU5" s="2" t="str">
        <f>IF(HT$5="","",IF(HT$5+1&lt;=Vehicles!$C$8,HT$5+1,""))</f>
        <v/>
      </c>
      <c r="HV5" s="2" t="str">
        <f>IF(HU$5="","",IF(HU$5+1&lt;=Vehicles!$C$8,HU$5+1,""))</f>
        <v/>
      </c>
      <c r="HW5" s="2" t="str">
        <f>IF(HV$5="","",IF(HV$5+1&lt;=Vehicles!$C$8,HV$5+1,""))</f>
        <v/>
      </c>
      <c r="HX5" s="2" t="str">
        <f>IF(HW$5="","",IF(HW$5+1&lt;=Vehicles!$C$8,HW$5+1,""))</f>
        <v/>
      </c>
      <c r="HY5" s="2" t="str">
        <f>IF(HX$5="","",IF(HX$5+1&lt;=Vehicles!$C$8,HX$5+1,""))</f>
        <v/>
      </c>
      <c r="HZ5" s="2" t="str">
        <f>IF(HY$5="","",IF(HY$5+1&lt;=Vehicles!$C$8,HY$5+1,""))</f>
        <v/>
      </c>
      <c r="IA5" s="2" t="str">
        <f>IF(HZ$5="","",IF(HZ$5+1&lt;=Vehicles!$C$8,HZ$5+1,""))</f>
        <v/>
      </c>
      <c r="IB5" s="2" t="str">
        <f>IF(IA$5="","",IF(IA$5+1&lt;=Vehicles!$C$8,IA$5+1,""))</f>
        <v/>
      </c>
      <c r="IC5" s="2" t="str">
        <f>IF(IB$5="","",IF(IB$5+1&lt;=Vehicles!$C$8,IB$5+1,""))</f>
        <v/>
      </c>
      <c r="ID5" s="2" t="str">
        <f>IF(IC$5="","",IF(IC$5+1&lt;=Vehicles!$C$8,IC$5+1,""))</f>
        <v/>
      </c>
      <c r="IE5" s="2" t="str">
        <f>IF(ID$5="","",IF(ID$5+1&lt;=Vehicles!$C$8,ID$5+1,""))</f>
        <v/>
      </c>
      <c r="IF5" s="2" t="str">
        <f>IF(IE$5="","",IF(IE$5+1&lt;=Vehicles!$C$8,IE$5+1,""))</f>
        <v/>
      </c>
      <c r="IG5" s="2" t="str">
        <f>IF(IF$5="","",IF(IF$5+1&lt;=Vehicles!$C$8,IF$5+1,""))</f>
        <v/>
      </c>
      <c r="IH5" s="2" t="str">
        <f>IF(IG$5="","",IF(IG$5+1&lt;=Vehicles!$C$8,IG$5+1,""))</f>
        <v/>
      </c>
      <c r="II5" s="2" t="str">
        <f>IF(IH$5="","",IF(IH$5+1&lt;=Vehicles!$C$8,IH$5+1,""))</f>
        <v/>
      </c>
      <c r="IJ5" s="2" t="str">
        <f>IF(II$5="","",IF(II$5+1&lt;=Vehicles!$C$8,II$5+1,""))</f>
        <v/>
      </c>
      <c r="IK5" s="2" t="str">
        <f>IF(IJ$5="","",IF(IJ$5+1&lt;=Vehicles!$C$8,IJ$5+1,""))</f>
        <v/>
      </c>
      <c r="IL5" s="2" t="str">
        <f>IF(IK$5="","",IF(IK$5+1&lt;=Vehicles!$C$8,IK$5+1,""))</f>
        <v/>
      </c>
      <c r="IM5" s="2" t="str">
        <f>IF(IL$5="","",IF(IL$5+1&lt;=Vehicles!$C$8,IL$5+1,""))</f>
        <v/>
      </c>
      <c r="IN5" s="2" t="str">
        <f>IF(IM$5="","",IF(IM$5+1&lt;=Vehicles!$C$8,IM$5+1,""))</f>
        <v/>
      </c>
      <c r="IO5" s="2" t="str">
        <f>IF(IN$5="","",IF(IN$5+1&lt;=Vehicles!$C$8,IN$5+1,""))</f>
        <v/>
      </c>
      <c r="IP5" s="2" t="str">
        <f>IF(IO$5="","",IF(IO$5+1&lt;=Vehicles!$C$8,IO$5+1,""))</f>
        <v/>
      </c>
      <c r="IQ5" s="2" t="str">
        <f>IF(IP$5="","",IF(IP$5+1&lt;=Vehicles!$C$8,IP$5+1,""))</f>
        <v/>
      </c>
      <c r="IR5" s="2" t="str">
        <f>IF(IQ$5="","",IF(IQ$5+1&lt;=Vehicles!$C$8,IQ$5+1,""))</f>
        <v/>
      </c>
      <c r="IS5" s="2" t="str">
        <f>IF(IR$5="","",IF(IR$5+1&lt;=Vehicles!$C$8,IR$5+1,""))</f>
        <v/>
      </c>
      <c r="IT5" s="2" t="str">
        <f>IF(IS$5="","",IF(IS$5+1&lt;=Vehicles!$C$8,IS$5+1,""))</f>
        <v/>
      </c>
      <c r="IU5" s="2" t="str">
        <f>IF(IT$5="","",IF(IT$5+1&lt;=Vehicles!$C$8,IT$5+1,""))</f>
        <v/>
      </c>
      <c r="IV5" s="2" t="str">
        <f>IF(IU$5="","",IF(IU$5+1&lt;=Vehicles!$C$8,IU$5+1,""))</f>
        <v/>
      </c>
      <c r="IW5" s="2" t="str">
        <f>IF(IV$5="","",IF(IV$5+1&lt;=Vehicles!$C$8,IV$5+1,""))</f>
        <v/>
      </c>
      <c r="IX5" s="2" t="str">
        <f>IF(IW$5="","",IF(IW$5+1&lt;=Vehicles!$C$8,IW$5+1,""))</f>
        <v/>
      </c>
      <c r="IY5" s="2" t="str">
        <f>IF(IX$5="","",IF(IX$5+1&lt;=Vehicles!$C$8,IX$5+1,""))</f>
        <v/>
      </c>
      <c r="IZ5" s="2" t="str">
        <f>IF(IY$5="","",IF(IY$5+1&lt;=Vehicles!$C$8,IY$5+1,""))</f>
        <v/>
      </c>
      <c r="JA5" s="2" t="str">
        <f>IF(IZ$5="","",IF(IZ$5+1&lt;=Vehicles!$C$8,IZ$5+1,""))</f>
        <v/>
      </c>
      <c r="JB5" s="2" t="str">
        <f>IF(JA$5="","",IF(JA$5+1&lt;=Vehicles!$C$8,JA$5+1,""))</f>
        <v/>
      </c>
      <c r="JC5" s="2" t="str">
        <f>IF(JB$5="","",IF(JB$5+1&lt;=Vehicles!$C$8,JB$5+1,""))</f>
        <v/>
      </c>
      <c r="JD5" s="2" t="str">
        <f>IF(JC$5="","",IF(JC$5+1&lt;=Vehicles!$C$8,JC$5+1,""))</f>
        <v/>
      </c>
      <c r="JE5" s="2" t="str">
        <f>IF(JD$5="","",IF(JD$5+1&lt;=Vehicles!$C$8,JD$5+1,""))</f>
        <v/>
      </c>
      <c r="JF5" s="2" t="str">
        <f>IF(JE$5="","",IF(JE$5+1&lt;=Vehicles!$C$8,JE$5+1,""))</f>
        <v/>
      </c>
      <c r="JG5" s="2" t="str">
        <f>IF(JF$5="","",IF(JF$5+1&lt;=Vehicles!$C$8,JF$5+1,""))</f>
        <v/>
      </c>
      <c r="JH5" s="2" t="str">
        <f>IF(JG$5="","",IF(JG$5+1&lt;=Vehicles!$C$8,JG$5+1,""))</f>
        <v/>
      </c>
      <c r="JI5" s="2" t="str">
        <f>IF(JH$5="","",IF(JH$5+1&lt;=Vehicles!$C$8,JH$5+1,""))</f>
        <v/>
      </c>
      <c r="JJ5" s="2" t="str">
        <f>IF(JI$5="","",IF(JI$5+1&lt;=Vehicles!$C$8,JI$5+1,""))</f>
        <v/>
      </c>
      <c r="JK5" s="2" t="str">
        <f>IF(JJ$5="","",IF(JJ$5+1&lt;=Vehicles!$C$8,JJ$5+1,""))</f>
        <v/>
      </c>
      <c r="JL5" s="2" t="str">
        <f>IF(JK$5="","",IF(JK$5+1&lt;=Vehicles!$C$8,JK$5+1,""))</f>
        <v/>
      </c>
      <c r="JM5" s="2" t="str">
        <f>IF(JL$5="","",IF(JL$5+1&lt;=Vehicles!$C$8,JL$5+1,""))</f>
        <v/>
      </c>
      <c r="JN5" s="2" t="str">
        <f>IF(JM$5="","",IF(JM$5+1&lt;=Vehicles!$C$8,JM$5+1,""))</f>
        <v/>
      </c>
      <c r="JO5" s="2" t="str">
        <f>IF(JN$5="","",IF(JN$5+1&lt;=Vehicles!$C$8,JN$5+1,""))</f>
        <v/>
      </c>
      <c r="JP5" s="2" t="str">
        <f>IF(JO$5="","",IF(JO$5+1&lt;=Vehicles!$C$8,JO$5+1,""))</f>
        <v/>
      </c>
      <c r="JQ5" s="2" t="str">
        <f>IF(JP$5="","",IF(JP$5+1&lt;=Vehicles!$C$8,JP$5+1,""))</f>
        <v/>
      </c>
      <c r="JR5" s="2" t="str">
        <f>IF(JQ$5="","",IF(JQ$5+1&lt;=Vehicles!$C$8,JQ$5+1,""))</f>
        <v/>
      </c>
      <c r="JS5" s="2" t="str">
        <f>IF(JR$5="","",IF(JR$5+1&lt;=Vehicles!$C$8,JR$5+1,""))</f>
        <v/>
      </c>
      <c r="JT5" s="2" t="str">
        <f>IF(JS$5="","",IF(JS$5+1&lt;=Vehicles!$C$8,JS$5+1,""))</f>
        <v/>
      </c>
      <c r="JU5" s="2" t="str">
        <f>IF(JT$5="","",IF(JT$5+1&lt;=Vehicles!$C$8,JT$5+1,""))</f>
        <v/>
      </c>
      <c r="JV5" s="2" t="str">
        <f>IF(JU$5="","",IF(JU$5+1&lt;=Vehicles!$C$8,JU$5+1,""))</f>
        <v/>
      </c>
      <c r="JW5" s="2" t="str">
        <f>IF(JV$5="","",IF(JV$5+1&lt;=Vehicles!$C$8,JV$5+1,""))</f>
        <v/>
      </c>
      <c r="JX5" s="2" t="str">
        <f>IF(JW$5="","",IF(JW$5+1&lt;=Vehicles!$C$8,JW$5+1,""))</f>
        <v/>
      </c>
      <c r="JY5" s="2" t="str">
        <f>IF(JX$5="","",IF(JX$5+1&lt;=Vehicles!$C$8,JX$5+1,""))</f>
        <v/>
      </c>
      <c r="JZ5" s="2" t="str">
        <f>IF(JY$5="","",IF(JY$5+1&lt;=Vehicles!$C$8,JY$5+1,""))</f>
        <v/>
      </c>
      <c r="KA5" s="2" t="str">
        <f>IF(JZ$5="","",IF(JZ$5+1&lt;=Vehicles!$C$8,JZ$5+1,""))</f>
        <v/>
      </c>
      <c r="KB5" s="2" t="str">
        <f>IF(KA$5="","",IF(KA$5+1&lt;=Vehicles!$C$8,KA$5+1,""))</f>
        <v/>
      </c>
      <c r="KC5" s="2" t="str">
        <f>IF(KB$5="","",IF(KB$5+1&lt;=Vehicles!$C$8,KB$5+1,""))</f>
        <v/>
      </c>
      <c r="KD5" s="2" t="str">
        <f>IF(KC$5="","",IF(KC$5+1&lt;=Vehicles!$C$8,KC$5+1,""))</f>
        <v/>
      </c>
      <c r="KE5" s="2" t="str">
        <f>IF(KD$5="","",IF(KD$5+1&lt;=Vehicles!$C$8,KD$5+1,""))</f>
        <v/>
      </c>
      <c r="KF5" s="2" t="str">
        <f>IF(KE$5="","",IF(KE$5+1&lt;=Vehicles!$C$8,KE$5+1,""))</f>
        <v/>
      </c>
      <c r="KG5" s="2" t="str">
        <f>IF(KF$5="","",IF(KF$5+1&lt;=Vehicles!$C$8,KF$5+1,""))</f>
        <v/>
      </c>
      <c r="KH5" s="2" t="str">
        <f>IF(KG$5="","",IF(KG$5+1&lt;=Vehicles!$C$8,KG$5+1,""))</f>
        <v/>
      </c>
      <c r="KI5" s="2" t="str">
        <f>IF(KH$5="","",IF(KH$5+1&lt;=Vehicles!$C$8,KH$5+1,""))</f>
        <v/>
      </c>
      <c r="KJ5" s="2" t="str">
        <f>IF(KI$5="","",IF(KI$5+1&lt;=Vehicles!$C$8,KI$5+1,""))</f>
        <v/>
      </c>
      <c r="KK5" s="2" t="str">
        <f>IF(KJ$5="","",IF(KJ$5+1&lt;=Vehicles!$C$8,KJ$5+1,""))</f>
        <v/>
      </c>
      <c r="KL5" s="2" t="str">
        <f>IF(KK$5="","",IF(KK$5+1&lt;=Vehicles!$C$8,KK$5+1,""))</f>
        <v/>
      </c>
      <c r="KM5" s="2" t="str">
        <f>IF(KL$5="","",IF(KL$5+1&lt;=Vehicles!$C$8,KL$5+1,""))</f>
        <v/>
      </c>
      <c r="KN5" s="2" t="str">
        <f>IF(KM$5="","",IF(KM$5+1&lt;=Vehicles!$C$8,KM$5+1,""))</f>
        <v/>
      </c>
      <c r="KO5" s="2" t="str">
        <f>IF(KN$5="","",IF(KN$5+1&lt;=Vehicles!$C$8,KN$5+1,""))</f>
        <v/>
      </c>
      <c r="KP5" s="2" t="str">
        <f>IF(KO$5="","",IF(KO$5+1&lt;=Vehicles!$C$8,KO$5+1,""))</f>
        <v/>
      </c>
      <c r="KQ5" s="2" t="str">
        <f>IF(KP$5="","",IF(KP$5+1&lt;=Vehicles!$C$8,KP$5+1,""))</f>
        <v/>
      </c>
      <c r="KR5" s="2" t="str">
        <f>IF(KQ$5="","",IF(KQ$5+1&lt;=Vehicles!$C$8,KQ$5+1,""))</f>
        <v/>
      </c>
      <c r="KS5" s="2" t="str">
        <f>IF(KR$5="","",IF(KR$5+1&lt;=Vehicles!$C$8,KR$5+1,""))</f>
        <v/>
      </c>
      <c r="KT5" s="2" t="str">
        <f>IF(KS$5="","",IF(KS$5+1&lt;=Vehicles!$C$8,KS$5+1,""))</f>
        <v/>
      </c>
      <c r="KU5" s="2" t="str">
        <f>IF(KT$5="","",IF(KT$5+1&lt;=Vehicles!$C$8,KT$5+1,""))</f>
        <v/>
      </c>
      <c r="KV5" s="2" t="str">
        <f>IF(KU$5="","",IF(KU$5+1&lt;=Vehicles!$C$8,KU$5+1,""))</f>
        <v/>
      </c>
      <c r="KW5" s="2" t="str">
        <f>IF(KV$5="","",IF(KV$5+1&lt;=Vehicles!$C$8,KV$5+1,""))</f>
        <v/>
      </c>
      <c r="KX5" s="2" t="str">
        <f>IF(KW$5="","",IF(KW$5+1&lt;=Vehicles!$C$8,KW$5+1,""))</f>
        <v/>
      </c>
      <c r="KY5" s="2" t="str">
        <f>IF(KX$5="","",IF(KX$5+1&lt;=Vehicles!$C$8,KX$5+1,""))</f>
        <v/>
      </c>
      <c r="KZ5" s="2" t="str">
        <f>IF(KY$5="","",IF(KY$5+1&lt;=Vehicles!$C$8,KY$5+1,""))</f>
        <v/>
      </c>
      <c r="LA5" s="2" t="str">
        <f>IF(KZ$5="","",IF(KZ$5+1&lt;=Vehicles!$C$8,KZ$5+1,""))</f>
        <v/>
      </c>
      <c r="LB5" s="2" t="str">
        <f>IF(LA$5="","",IF(LA$5+1&lt;=Vehicles!$C$8,LA$5+1,""))</f>
        <v/>
      </c>
      <c r="LC5" s="2" t="str">
        <f>IF(LB$5="","",IF(LB$5+1&lt;=Vehicles!$C$8,LB$5+1,""))</f>
        <v/>
      </c>
      <c r="LD5" s="2" t="str">
        <f>IF(LC$5="","",IF(LC$5+1&lt;=Vehicles!$C$8,LC$5+1,""))</f>
        <v/>
      </c>
      <c r="LE5" s="2" t="str">
        <f>IF(LD$5="","",IF(LD$5+1&lt;=Vehicles!$C$8,LD$5+1,""))</f>
        <v/>
      </c>
      <c r="LF5" s="2" t="str">
        <f>IF(LE$5="","",IF(LE$5+1&lt;=Vehicles!$C$8,LE$5+1,""))</f>
        <v/>
      </c>
      <c r="LG5" s="2" t="str">
        <f>IF(LF$5="","",IF(LF$5+1&lt;=Vehicles!$C$8,LF$5+1,""))</f>
        <v/>
      </c>
      <c r="LH5" s="2" t="str">
        <f>IF(LG$5="","",IF(LG$5+1&lt;=Vehicles!$C$8,LG$5+1,""))</f>
        <v/>
      </c>
      <c r="LI5" s="2" t="str">
        <f>IF(LH$5="","",IF(LH$5+1&lt;=Vehicles!$C$8,LH$5+1,""))</f>
        <v/>
      </c>
      <c r="LJ5" s="2" t="str">
        <f>IF(LI$5="","",IF(LI$5+1&lt;=Vehicles!$C$8,LI$5+1,""))</f>
        <v/>
      </c>
      <c r="LK5" s="2" t="str">
        <f>IF(LJ$5="","",IF(LJ$5+1&lt;=Vehicles!$C$8,LJ$5+1,""))</f>
        <v/>
      </c>
      <c r="LL5" s="2" t="str">
        <f>IF(LK$5="","",IF(LK$5+1&lt;=Vehicles!$C$8,LK$5+1,""))</f>
        <v/>
      </c>
      <c r="LM5" s="2" t="str">
        <f>IF(LL$5="","",IF(LL$5+1&lt;=Vehicles!$C$8,LL$5+1,""))</f>
        <v/>
      </c>
      <c r="LN5" s="2" t="str">
        <f>IF(LM$5="","",IF(LM$5+1&lt;=Vehicles!$C$8,LM$5+1,""))</f>
        <v/>
      </c>
      <c r="LO5" s="2" t="str">
        <f>IF(LN$5="","",IF(LN$5+1&lt;=Vehicles!$C$8,LN$5+1,""))</f>
        <v/>
      </c>
      <c r="LP5" s="2" t="str">
        <f>IF(LO$5="","",IF(LO$5+1&lt;=Vehicles!$C$8,LO$5+1,""))</f>
        <v/>
      </c>
      <c r="LQ5" s="2" t="str">
        <f>IF(LP$5="","",IF(LP$5+1&lt;=Vehicles!$C$8,LP$5+1,""))</f>
        <v/>
      </c>
      <c r="LR5" s="2" t="str">
        <f>IF(LQ$5="","",IF(LQ$5+1&lt;=Vehicles!$C$8,LQ$5+1,""))</f>
        <v/>
      </c>
      <c r="LS5" s="2" t="str">
        <f>IF(LR$5="","",IF(LR$5+1&lt;=Vehicles!$C$8,LR$5+1,""))</f>
        <v/>
      </c>
      <c r="LT5" s="2" t="str">
        <f>IF(LS$5="","",IF(LS$5+1&lt;=Vehicles!$C$8,LS$5+1,""))</f>
        <v/>
      </c>
      <c r="LU5" s="2" t="str">
        <f>IF(LT$5="","",IF(LT$5+1&lt;=Vehicles!$C$8,LT$5+1,""))</f>
        <v/>
      </c>
      <c r="LV5" s="2" t="str">
        <f>IF(LU$5="","",IF(LU$5+1&lt;=Vehicles!$C$8,LU$5+1,""))</f>
        <v/>
      </c>
      <c r="LW5" s="2" t="str">
        <f>IF(LV$5="","",IF(LV$5+1&lt;=Vehicles!$C$8,LV$5+1,""))</f>
        <v/>
      </c>
      <c r="LX5" s="2" t="str">
        <f>IF(LW$5="","",IF(LW$5+1&lt;=Vehicles!$C$8,LW$5+1,""))</f>
        <v/>
      </c>
      <c r="LY5" s="2" t="str">
        <f>IF(LX$5="","",IF(LX$5+1&lt;=Vehicles!$C$8,LX$5+1,""))</f>
        <v/>
      </c>
      <c r="LZ5" s="2" t="str">
        <f>IF(LY$5="","",IF(LY$5+1&lt;=Vehicles!$C$8,LY$5+1,""))</f>
        <v/>
      </c>
      <c r="MA5" s="2" t="str">
        <f>IF(LZ$5="","",IF(LZ$5+1&lt;=Vehicles!$C$8,LZ$5+1,""))</f>
        <v/>
      </c>
      <c r="MB5" s="2" t="str">
        <f>IF(MA$5="","",IF(MA$5+1&lt;=Vehicles!$C$8,MA$5+1,""))</f>
        <v/>
      </c>
      <c r="MC5" s="2" t="str">
        <f>IF(MB$5="","",IF(MB$5+1&lt;=Vehicles!$C$8,MB$5+1,""))</f>
        <v/>
      </c>
      <c r="MD5" s="2" t="str">
        <f>IF(MC$5="","",IF(MC$5+1&lt;=Vehicles!$C$8,MC$5+1,""))</f>
        <v/>
      </c>
      <c r="ME5" s="2" t="str">
        <f>IF(MD$5="","",IF(MD$5+1&lt;=Vehicles!$C$8,MD$5+1,""))</f>
        <v/>
      </c>
      <c r="MF5" s="2" t="str">
        <f>IF(ME$5="","",IF(ME$5+1&lt;=Vehicles!$C$8,ME$5+1,""))</f>
        <v/>
      </c>
      <c r="MG5" s="2" t="str">
        <f>IF(MF$5="","",IF(MF$5+1&lt;=Vehicles!$C$8,MF$5+1,""))</f>
        <v/>
      </c>
      <c r="MH5" s="2" t="str">
        <f>IF(MG$5="","",IF(MG$5+1&lt;=Vehicles!$C$8,MG$5+1,""))</f>
        <v/>
      </c>
      <c r="MI5" s="2" t="str">
        <f>IF(MH$5="","",IF(MH$5+1&lt;=Vehicles!$C$8,MH$5+1,""))</f>
        <v/>
      </c>
      <c r="MJ5" s="2" t="str">
        <f>IF(MI$5="","",IF(MI$5+1&lt;=Vehicles!$C$8,MI$5+1,""))</f>
        <v/>
      </c>
      <c r="MK5" s="2" t="str">
        <f>IF(MJ$5="","",IF(MJ$5+1&lt;=Vehicles!$C$8,MJ$5+1,""))</f>
        <v/>
      </c>
      <c r="ML5" s="2" t="str">
        <f>IF(MK$5="","",IF(MK$5+1&lt;=Vehicles!$C$8,MK$5+1,""))</f>
        <v/>
      </c>
      <c r="MM5" s="2" t="str">
        <f>IF(ML$5="","",IF(ML$5+1&lt;=Vehicles!$C$8,ML$5+1,""))</f>
        <v/>
      </c>
      <c r="MN5" s="2" t="str">
        <f>IF(MM$5="","",IF(MM$5+1&lt;=Vehicles!$C$8,MM$5+1,""))</f>
        <v/>
      </c>
      <c r="MO5" s="2" t="str">
        <f>IF(MN$5="","",IF(MN$5+1&lt;=Vehicles!$C$8,MN$5+1,""))</f>
        <v/>
      </c>
      <c r="MP5" s="2" t="str">
        <f>IF(MO$5="","",IF(MO$5+1&lt;=Vehicles!$C$8,MO$5+1,""))</f>
        <v/>
      </c>
      <c r="MQ5" s="2" t="str">
        <f>IF(MP$5="","",IF(MP$5+1&lt;=Vehicles!$C$8,MP$5+1,""))</f>
        <v/>
      </c>
      <c r="MR5" s="2" t="str">
        <f>IF(MQ$5="","",IF(MQ$5+1&lt;=Vehicles!$C$8,MQ$5+1,""))</f>
        <v/>
      </c>
      <c r="MS5" s="2" t="str">
        <f>IF(MR$5="","",IF(MR$5+1&lt;=Vehicles!$C$8,MR$5+1,""))</f>
        <v/>
      </c>
      <c r="MT5" s="2" t="str">
        <f>IF(MS$5="","",IF(MS$5+1&lt;=Vehicles!$C$8,MS$5+1,""))</f>
        <v/>
      </c>
      <c r="MU5" s="2" t="str">
        <f>IF(MT$5="","",IF(MT$5+1&lt;=Vehicles!$C$8,MT$5+1,""))</f>
        <v/>
      </c>
      <c r="MV5" s="2" t="str">
        <f>IF(MU$5="","",IF(MU$5+1&lt;=Vehicles!$C$8,MU$5+1,""))</f>
        <v/>
      </c>
      <c r="MW5" s="2" t="str">
        <f>IF(MV$5="","",IF(MV$5+1&lt;=Vehicles!$C$8,MV$5+1,""))</f>
        <v/>
      </c>
      <c r="MX5" s="2" t="str">
        <f>IF(MW$5="","",IF(MW$5+1&lt;=Vehicles!$C$8,MW$5+1,""))</f>
        <v/>
      </c>
      <c r="MY5" s="2" t="str">
        <f>IF(MX$5="","",IF(MX$5+1&lt;=Vehicles!$C$8,MX$5+1,""))</f>
        <v/>
      </c>
      <c r="MZ5" s="2" t="str">
        <f>IF(MY$5="","",IF(MY$5+1&lt;=Vehicles!$C$8,MY$5+1,""))</f>
        <v/>
      </c>
      <c r="NA5" s="2" t="str">
        <f>IF(MZ$5="","",IF(MZ$5+1&lt;=Vehicles!$C$8,MZ$5+1,""))</f>
        <v/>
      </c>
      <c r="NB5" s="2" t="str">
        <f>IF(NA$5="","",IF(NA$5+1&lt;=Vehicles!$C$8,NA$5+1,""))</f>
        <v/>
      </c>
      <c r="NC5" s="2" t="str">
        <f>IF(NB$5="","",IF(NB$5+1&lt;=Vehicles!$C$8,NB$5+1,""))</f>
        <v/>
      </c>
      <c r="ND5" s="2" t="str">
        <f>IF(NC$5="","",IF(NC$5+1&lt;=Vehicles!$C$8,NC$5+1,""))</f>
        <v/>
      </c>
      <c r="NE5" s="2" t="str">
        <f>IF(ND$5="","",IF(ND$5+1&lt;=Vehicles!$C$8,ND$5+1,""))</f>
        <v/>
      </c>
      <c r="NF5" s="2" t="str">
        <f>IF(NE$5="","",IF(NE$5+1&lt;=Vehicles!$C$8,NE$5+1,""))</f>
        <v/>
      </c>
      <c r="NG5" s="2" t="str">
        <f>IF(NF$5="","",IF(NF$5+1&lt;=Vehicles!$C$8,NF$5+1,""))</f>
        <v/>
      </c>
      <c r="NH5" s="2" t="str">
        <f>IF(NG$5="","",IF(NG$5+1&lt;=Vehicles!$C$8,NG$5+1,""))</f>
        <v/>
      </c>
      <c r="NI5" s="2" t="str">
        <f>IF(NH$5="","",IF(NH$5+1&lt;=Vehicles!$C$8,NH$5+1,""))</f>
        <v/>
      </c>
      <c r="NJ5" s="2" t="str">
        <f>IF(NI$5="","",IF(NI$5+1&lt;=Vehicles!$C$8,NI$5+1,""))</f>
        <v/>
      </c>
      <c r="NK5" s="2" t="str">
        <f>IF(NJ$5="","",IF(NJ$5+1&lt;=Vehicles!$C$8,NJ$5+1,""))</f>
        <v/>
      </c>
      <c r="NL5" s="2" t="str">
        <f>IF(NK$5="","",IF(NK$5+1&lt;=Vehicles!$C$8,NK$5+1,""))</f>
        <v/>
      </c>
      <c r="NM5" s="2" t="str">
        <f>IF(NL$5="","",IF(NL$5+1&lt;=Vehicles!$C$8,NL$5+1,""))</f>
        <v/>
      </c>
      <c r="NN5" s="2" t="str">
        <f>IF(NM$5="","",IF(NM$5+1&lt;=Vehicles!$C$8,NM$5+1,""))</f>
        <v/>
      </c>
      <c r="NO5" s="2" t="str">
        <f>IF(NN$5="","",IF(NN$5+1&lt;=Vehicles!$C$8,NN$5+1,""))</f>
        <v/>
      </c>
      <c r="NP5" s="2" t="str">
        <f>IF(NO$5="","",IF(NO$5+1&lt;=Vehicles!$C$8,NO$5+1,""))</f>
        <v/>
      </c>
      <c r="NQ5" s="2" t="str">
        <f>IF(NP$5="","",IF(NP$5+1&lt;=Vehicles!$C$8,NP$5+1,""))</f>
        <v/>
      </c>
      <c r="NR5" s="2" t="str">
        <f>IF(NQ$5="","",IF(NQ$5+1&lt;=Vehicles!$C$8,NQ$5+1,""))</f>
        <v/>
      </c>
      <c r="NS5" s="2" t="str">
        <f>IF(NR$5="","",IF(NR$5+1&lt;=Vehicles!$C$8,NR$5+1,""))</f>
        <v/>
      </c>
      <c r="NT5" s="2" t="str">
        <f>IF(NS$5="","",IF(NS$5+1&lt;=Vehicles!$C$8,NS$5+1,""))</f>
        <v/>
      </c>
      <c r="NU5" s="2" t="str">
        <f>IF(NT$5="","",IF(NT$5+1&lt;=Vehicles!$C$8,NT$5+1,""))</f>
        <v/>
      </c>
      <c r="NV5" s="2" t="str">
        <f>IF(NU$5="","",IF(NU$5+1&lt;=Vehicles!$C$8,NU$5+1,""))</f>
        <v/>
      </c>
      <c r="NW5" s="2" t="str">
        <f>IF(NV$5="","",IF(NV$5+1&lt;=Vehicles!$C$8,NV$5+1,""))</f>
        <v/>
      </c>
      <c r="NX5" s="2" t="str">
        <f>IF(NW$5="","",IF(NW$5+1&lt;=Vehicles!$C$8,NW$5+1,""))</f>
        <v/>
      </c>
      <c r="NY5" s="2" t="str">
        <f>IF(NX$5="","",IF(NX$5+1&lt;=Vehicles!$C$8,NX$5+1,""))</f>
        <v/>
      </c>
      <c r="NZ5" s="2" t="str">
        <f>IF(NY$5="","",IF(NY$5+1&lt;=Vehicles!$C$8,NY$5+1,""))</f>
        <v/>
      </c>
      <c r="OA5" s="2" t="str">
        <f>IF(NZ$5="","",IF(NZ$5+1&lt;=Vehicles!$C$8,NZ$5+1,""))</f>
        <v/>
      </c>
      <c r="OB5" s="2" t="str">
        <f>IF(OA$5="","",IF(OA$5+1&lt;=Vehicles!$C$8,OA$5+1,""))</f>
        <v/>
      </c>
      <c r="OC5" s="2" t="str">
        <f>IF(OB$5="","",IF(OB$5+1&lt;=Vehicles!$C$8,OB$5+1,""))</f>
        <v/>
      </c>
      <c r="OD5" s="2" t="str">
        <f>IF(OC$5="","",IF(OC$5+1&lt;=Vehicles!$C$8,OC$5+1,""))</f>
        <v/>
      </c>
      <c r="OE5" s="2" t="str">
        <f>IF(OD$5="","",IF(OD$5+1&lt;=Vehicles!$C$8,OD$5+1,""))</f>
        <v/>
      </c>
      <c r="OF5" s="2" t="str">
        <f>IF(OE$5="","",IF(OE$5+1&lt;=Vehicles!$C$8,OE$5+1,""))</f>
        <v/>
      </c>
      <c r="OG5" s="2" t="str">
        <f>IF(OF$5="","",IF(OF$5+1&lt;=Vehicles!$C$8,OF$5+1,""))</f>
        <v/>
      </c>
      <c r="OH5" s="2" t="str">
        <f>IF(OG$5="","",IF(OG$5+1&lt;=Vehicles!$C$8,OG$5+1,""))</f>
        <v/>
      </c>
      <c r="OI5" s="2" t="str">
        <f>IF(OH$5="","",IF(OH$5+1&lt;=Vehicles!$C$8,OH$5+1,""))</f>
        <v/>
      </c>
      <c r="OJ5" s="2" t="str">
        <f>IF(OI$5="","",IF(OI$5+1&lt;=Vehicles!$C$8,OI$5+1,""))</f>
        <v/>
      </c>
      <c r="OK5" s="2" t="str">
        <f>IF(OJ$5="","",IF(OJ$5+1&lt;=Vehicles!$C$8,OJ$5+1,""))</f>
        <v/>
      </c>
      <c r="OL5" s="2" t="str">
        <f>IF(OK$5="","",IF(OK$5+1&lt;=Vehicles!$C$8,OK$5+1,""))</f>
        <v/>
      </c>
      <c r="OM5" s="2" t="str">
        <f>IF(OL$5="","",IF(OL$5+1&lt;=Vehicles!$C$8,OL$5+1,""))</f>
        <v/>
      </c>
      <c r="ON5" s="2" t="str">
        <f>IF(OM$5="","",IF(OM$5+1&lt;=Vehicles!$C$8,OM$5+1,""))</f>
        <v/>
      </c>
      <c r="OO5" s="2" t="str">
        <f>IF(ON$5="","",IF(ON$5+1&lt;=Vehicles!$C$8,ON$5+1,""))</f>
        <v/>
      </c>
      <c r="OP5" s="2" t="str">
        <f>IF(OO$5="","",IF(OO$5+1&lt;=Vehicles!$C$8,OO$5+1,""))</f>
        <v/>
      </c>
      <c r="OQ5" s="2" t="str">
        <f>IF(OP$5="","",IF(OP$5+1&lt;=Vehicles!$C$8,OP$5+1,""))</f>
        <v/>
      </c>
      <c r="OR5" s="2" t="str">
        <f>IF(OQ$5="","",IF(OQ$5+1&lt;=Vehicles!$C$8,OQ$5+1,""))</f>
        <v/>
      </c>
      <c r="OS5" s="2" t="str">
        <f>IF(OR$5="","",IF(OR$5+1&lt;=Vehicles!$C$8,OR$5+1,""))</f>
        <v/>
      </c>
      <c r="OT5" s="2" t="str">
        <f>IF(OS$5="","",IF(OS$5+1&lt;=Vehicles!$C$8,OS$5+1,""))</f>
        <v/>
      </c>
      <c r="OU5" s="2" t="str">
        <f>IF(OT$5="","",IF(OT$5+1&lt;=Vehicles!$C$8,OT$5+1,""))</f>
        <v/>
      </c>
      <c r="OV5" s="2" t="str">
        <f>IF(OU$5="","",IF(OU$5+1&lt;=Vehicles!$C$8,OU$5+1,""))</f>
        <v/>
      </c>
      <c r="OW5" s="2" t="str">
        <f>IF(OV$5="","",IF(OV$5+1&lt;=Vehicles!$C$8,OV$5+1,""))</f>
        <v/>
      </c>
      <c r="OX5" s="2" t="str">
        <f>IF(OW$5="","",IF(OW$5+1&lt;=Vehicles!$C$8,OW$5+1,""))</f>
        <v/>
      </c>
      <c r="OY5" s="2" t="str">
        <f>IF(OX$5="","",IF(OX$5+1&lt;=Vehicles!$C$8,OX$5+1,""))</f>
        <v/>
      </c>
      <c r="OZ5" s="2" t="str">
        <f>IF(OY$5="","",IF(OY$5+1&lt;=Vehicles!$C$8,OY$5+1,""))</f>
        <v/>
      </c>
      <c r="PA5" s="2" t="str">
        <f>IF(OZ$5="","",IF(OZ$5+1&lt;=Vehicles!$C$8,OZ$5+1,""))</f>
        <v/>
      </c>
      <c r="PB5" s="2" t="str">
        <f>IF(PA$5="","",IF(PA$5+1&lt;=Vehicles!$C$8,PA$5+1,""))</f>
        <v/>
      </c>
      <c r="PC5" s="2" t="str">
        <f>IF(PB$5="","",IF(PB$5+1&lt;=Vehicles!$C$8,PB$5+1,""))</f>
        <v/>
      </c>
      <c r="PD5" s="2" t="str">
        <f>IF(PC$5="","",IF(PC$5+1&lt;=Vehicles!$C$8,PC$5+1,""))</f>
        <v/>
      </c>
      <c r="PE5" s="2" t="str">
        <f>IF(PD$5="","",IF(PD$5+1&lt;=Vehicles!$C$8,PD$5+1,""))</f>
        <v/>
      </c>
      <c r="PF5" s="2" t="str">
        <f>IF(PE$5="","",IF(PE$5+1&lt;=Vehicles!$C$8,PE$5+1,""))</f>
        <v/>
      </c>
      <c r="PG5" s="2" t="str">
        <f>IF(PF$5="","",IF(PF$5+1&lt;=Vehicles!$C$8,PF$5+1,""))</f>
        <v/>
      </c>
      <c r="PH5" s="2" t="str">
        <f>IF(PG$5="","",IF(PG$5+1&lt;=Vehicles!$C$8,PG$5+1,""))</f>
        <v/>
      </c>
      <c r="PI5" s="2" t="str">
        <f>IF(PH$5="","",IF(PH$5+1&lt;=Vehicles!$C$8,PH$5+1,""))</f>
        <v/>
      </c>
      <c r="PJ5" s="2" t="str">
        <f>IF(PI$5="","",IF(PI$5+1&lt;=Vehicles!$C$8,PI$5+1,""))</f>
        <v/>
      </c>
      <c r="PK5" s="2" t="str">
        <f>IF(PJ$5="","",IF(PJ$5+1&lt;=Vehicles!$C$8,PJ$5+1,""))</f>
        <v/>
      </c>
      <c r="PL5" s="2" t="str">
        <f>IF(PK$5="","",IF(PK$5+1&lt;=Vehicles!$C$8,PK$5+1,""))</f>
        <v/>
      </c>
      <c r="PM5" s="2" t="str">
        <f>IF(PL$5="","",IF(PL$5+1&lt;=Vehicles!$C$8,PL$5+1,""))</f>
        <v/>
      </c>
      <c r="PN5" s="2" t="str">
        <f>IF(PM$5="","",IF(PM$5+1&lt;=Vehicles!$C$8,PM$5+1,""))</f>
        <v/>
      </c>
      <c r="PO5" s="2" t="str">
        <f>IF(PN$5="","",IF(PN$5+1&lt;=Vehicles!$C$8,PN$5+1,""))</f>
        <v/>
      </c>
      <c r="PP5" s="2" t="str">
        <f>IF(PO$5="","",IF(PO$5+1&lt;=Vehicles!$C$8,PO$5+1,""))</f>
        <v/>
      </c>
      <c r="PQ5" s="2" t="str">
        <f>IF(PP$5="","",IF(PP$5+1&lt;=Vehicles!$C$8,PP$5+1,""))</f>
        <v/>
      </c>
      <c r="PR5" s="2" t="str">
        <f>IF(PQ$5="","",IF(PQ$5+1&lt;=Vehicles!$C$8,PQ$5+1,""))</f>
        <v/>
      </c>
      <c r="PS5" s="2" t="str">
        <f>IF(PR$5="","",IF(PR$5+1&lt;=Vehicles!$C$8,PR$5+1,""))</f>
        <v/>
      </c>
      <c r="PT5" s="2" t="str">
        <f>IF(PS$5="","",IF(PS$5+1&lt;=Vehicles!$C$8,PS$5+1,""))</f>
        <v/>
      </c>
      <c r="PU5" s="2" t="str">
        <f>IF(PT$5="","",IF(PT$5+1&lt;=Vehicles!$C$8,PT$5+1,""))</f>
        <v/>
      </c>
      <c r="PV5" s="2" t="str">
        <f>IF(PU$5="","",IF(PU$5+1&lt;=Vehicles!$C$8,PU$5+1,""))</f>
        <v/>
      </c>
      <c r="PW5" s="2" t="str">
        <f>IF(PV$5="","",IF(PV$5+1&lt;=Vehicles!$C$8,PV$5+1,""))</f>
        <v/>
      </c>
      <c r="PX5" s="2" t="str">
        <f>IF(PW$5="","",IF(PW$5+1&lt;=Vehicles!$C$8,PW$5+1,""))</f>
        <v/>
      </c>
      <c r="PY5" s="2" t="str">
        <f>IF(PX$5="","",IF(PX$5+1&lt;=Vehicles!$C$8,PX$5+1,""))</f>
        <v/>
      </c>
      <c r="PZ5" s="2" t="str">
        <f>IF(PY$5="","",IF(PY$5+1&lt;=Vehicles!$C$8,PY$5+1,""))</f>
        <v/>
      </c>
      <c r="QA5" s="2" t="str">
        <f>IF(PZ$5="","",IF(PZ$5+1&lt;=Vehicles!$C$8,PZ$5+1,""))</f>
        <v/>
      </c>
      <c r="QB5" s="2" t="str">
        <f>IF(QA$5="","",IF(QA$5+1&lt;=Vehicles!$C$8,QA$5+1,""))</f>
        <v/>
      </c>
      <c r="QC5" s="2" t="str">
        <f>IF(QB$5="","",IF(QB$5+1&lt;=Vehicles!$C$8,QB$5+1,""))</f>
        <v/>
      </c>
      <c r="QD5" s="2" t="str">
        <f>IF(QC$5="","",IF(QC$5+1&lt;=Vehicles!$C$8,QC$5+1,""))</f>
        <v/>
      </c>
      <c r="QE5" s="2" t="str">
        <f>IF(QD$5="","",IF(QD$5+1&lt;=Vehicles!$C$8,QD$5+1,""))</f>
        <v/>
      </c>
      <c r="QF5" s="2" t="str">
        <f>IF(QE$5="","",IF(QE$5+1&lt;=Vehicles!$C$8,QE$5+1,""))</f>
        <v/>
      </c>
      <c r="QG5" s="2" t="str">
        <f>IF(QF$5="","",IF(QF$5+1&lt;=Vehicles!$C$8,QF$5+1,""))</f>
        <v/>
      </c>
      <c r="QH5" s="2" t="str">
        <f>IF(QG$5="","",IF(QG$5+1&lt;=Vehicles!$C$8,QG$5+1,""))</f>
        <v/>
      </c>
      <c r="QI5" s="2" t="str">
        <f>IF(QH$5="","",IF(QH$5+1&lt;=Vehicles!$C$8,QH$5+1,""))</f>
        <v/>
      </c>
      <c r="QJ5" s="2" t="str">
        <f>IF(QI$5="","",IF(QI$5+1&lt;=Vehicles!$C$8,QI$5+1,""))</f>
        <v/>
      </c>
      <c r="QK5" s="2" t="str">
        <f>IF(QJ$5="","",IF(QJ$5+1&lt;=Vehicles!$C$8,QJ$5+1,""))</f>
        <v/>
      </c>
      <c r="QL5" s="2" t="str">
        <f>IF(QK$5="","",IF(QK$5+1&lt;=Vehicles!$C$8,QK$5+1,""))</f>
        <v/>
      </c>
      <c r="QM5" s="2" t="str">
        <f>IF(QL$5="","",IF(QL$5+1&lt;=Vehicles!$C$8,QL$5+1,""))</f>
        <v/>
      </c>
      <c r="QN5" s="2" t="str">
        <f>IF(QM$5="","",IF(QM$5+1&lt;=Vehicles!$C$8,QM$5+1,""))</f>
        <v/>
      </c>
      <c r="QO5" s="2" t="str">
        <f>IF(QN$5="","",IF(QN$5+1&lt;=Vehicles!$C$8,QN$5+1,""))</f>
        <v/>
      </c>
      <c r="QP5" s="2" t="str">
        <f>IF(QO$5="","",IF(QO$5+1&lt;=Vehicles!$C$8,QO$5+1,""))</f>
        <v/>
      </c>
      <c r="QQ5" s="2" t="str">
        <f>IF(QP$5="","",IF(QP$5+1&lt;=Vehicles!$C$8,QP$5+1,""))</f>
        <v/>
      </c>
      <c r="QR5" s="2" t="str">
        <f>IF(QQ$5="","",IF(QQ$5+1&lt;=Vehicles!$C$8,QQ$5+1,""))</f>
        <v/>
      </c>
      <c r="QS5" s="2" t="str">
        <f>IF(QR$5="","",IF(QR$5+1&lt;=Vehicles!$C$8,QR$5+1,""))</f>
        <v/>
      </c>
      <c r="QT5" s="2" t="str">
        <f>IF(QS$5="","",IF(QS$5+1&lt;=Vehicles!$C$8,QS$5+1,""))</f>
        <v/>
      </c>
      <c r="QU5" s="2" t="str">
        <f>IF(QT$5="","",IF(QT$5+1&lt;=Vehicles!$C$8,QT$5+1,""))</f>
        <v/>
      </c>
      <c r="QV5" s="2" t="str">
        <f>IF(QU$5="","",IF(QU$5+1&lt;=Vehicles!$C$8,QU$5+1,""))</f>
        <v/>
      </c>
      <c r="QW5" s="2" t="str">
        <f>IF(QV$5="","",IF(QV$5+1&lt;=Vehicles!$C$8,QV$5+1,""))</f>
        <v/>
      </c>
      <c r="QX5" s="2" t="str">
        <f>IF(QW$5="","",IF(QW$5+1&lt;=Vehicles!$C$8,QW$5+1,""))</f>
        <v/>
      </c>
      <c r="QY5" s="2" t="str">
        <f>IF(QX$5="","",IF(QX$5+1&lt;=Vehicles!$C$8,QX$5+1,""))</f>
        <v/>
      </c>
      <c r="QZ5" s="2" t="str">
        <f>IF(QY$5="","",IF(QY$5+1&lt;=Vehicles!$C$8,QY$5+1,""))</f>
        <v/>
      </c>
      <c r="RA5" s="2" t="str">
        <f>IF(QZ$5="","",IF(QZ$5+1&lt;=Vehicles!$C$8,QZ$5+1,""))</f>
        <v/>
      </c>
      <c r="RB5" s="2" t="str">
        <f>IF(RA$5="","",IF(RA$5+1&lt;=Vehicles!$C$8,RA$5+1,""))</f>
        <v/>
      </c>
      <c r="RC5" s="2" t="str">
        <f>IF(RB$5="","",IF(RB$5+1&lt;=Vehicles!$C$8,RB$5+1,""))</f>
        <v/>
      </c>
      <c r="RD5" s="2" t="str">
        <f>IF(RC$5="","",IF(RC$5+1&lt;=Vehicles!$C$8,RC$5+1,""))</f>
        <v/>
      </c>
      <c r="RE5" s="2" t="str">
        <f>IF(RD$5="","",IF(RD$5+1&lt;=Vehicles!$C$8,RD$5+1,""))</f>
        <v/>
      </c>
      <c r="RF5" s="2" t="str">
        <f>IF(RE$5="","",IF(RE$5+1&lt;=Vehicles!$C$8,RE$5+1,""))</f>
        <v/>
      </c>
      <c r="RG5" s="2" t="str">
        <f>IF(RF$5="","",IF(RF$5+1&lt;=Vehicles!$C$8,RF$5+1,""))</f>
        <v/>
      </c>
      <c r="RH5" s="2" t="str">
        <f>IF(RG$5="","",IF(RG$5+1&lt;=Vehicles!$C$8,RG$5+1,""))</f>
        <v/>
      </c>
      <c r="RI5" s="2" t="str">
        <f>IF(RH$5="","",IF(RH$5+1&lt;=Vehicles!$C$8,RH$5+1,""))</f>
        <v/>
      </c>
      <c r="RJ5" s="2" t="str">
        <f>IF(RI$5="","",IF(RI$5+1&lt;=Vehicles!$C$8,RI$5+1,""))</f>
        <v/>
      </c>
      <c r="RK5" s="2" t="str">
        <f>IF(RJ$5="","",IF(RJ$5+1&lt;=Vehicles!$C$8,RJ$5+1,""))</f>
        <v/>
      </c>
      <c r="RL5" s="2" t="str">
        <f>IF(RK$5="","",IF(RK$5+1&lt;=Vehicles!$C$8,RK$5+1,""))</f>
        <v/>
      </c>
      <c r="RM5" s="2" t="str">
        <f>IF(RL$5="","",IF(RL$5+1&lt;=Vehicles!$C$8,RL$5+1,""))</f>
        <v/>
      </c>
      <c r="RN5" s="2" t="str">
        <f>IF(RM$5="","",IF(RM$5+1&lt;=Vehicles!$C$8,RM$5+1,""))</f>
        <v/>
      </c>
      <c r="RO5" s="2" t="str">
        <f>IF(RN$5="","",IF(RN$5+1&lt;=Vehicles!$C$8,RN$5+1,""))</f>
        <v/>
      </c>
      <c r="RP5" s="2" t="str">
        <f>IF(RO$5="","",IF(RO$5+1&lt;=Vehicles!$C$8,RO$5+1,""))</f>
        <v/>
      </c>
      <c r="RQ5" s="2" t="str">
        <f>IF(RP$5="","",IF(RP$5+1&lt;=Vehicles!$C$8,RP$5+1,""))</f>
        <v/>
      </c>
      <c r="RR5" s="2" t="str">
        <f>IF(RQ$5="","",IF(RQ$5+1&lt;=Vehicles!$C$8,RQ$5+1,""))</f>
        <v/>
      </c>
      <c r="RS5" s="2" t="str">
        <f>IF(RR$5="","",IF(RR$5+1&lt;=Vehicles!$C$8,RR$5+1,""))</f>
        <v/>
      </c>
      <c r="RT5" s="2" t="str">
        <f>IF(RS$5="","",IF(RS$5+1&lt;=Vehicles!$C$8,RS$5+1,""))</f>
        <v/>
      </c>
      <c r="RU5" s="2" t="str">
        <f>IF(RT$5="","",IF(RT$5+1&lt;=Vehicles!$C$8,RT$5+1,""))</f>
        <v/>
      </c>
      <c r="RV5" s="2" t="str">
        <f>IF(RU$5="","",IF(RU$5+1&lt;=Vehicles!$C$8,RU$5+1,""))</f>
        <v/>
      </c>
      <c r="RW5" s="2" t="str">
        <f>IF(RV$5="","",IF(RV$5+1&lt;=Vehicles!$C$8,RV$5+1,""))</f>
        <v/>
      </c>
      <c r="RX5" s="2" t="str">
        <f>IF(RW$5="","",IF(RW$5+1&lt;=Vehicles!$C$8,RW$5+1,""))</f>
        <v/>
      </c>
      <c r="RY5" s="2" t="str">
        <f>IF(RX$5="","",IF(RX$5+1&lt;=Vehicles!$C$8,RX$5+1,""))</f>
        <v/>
      </c>
      <c r="RZ5" s="2" t="str">
        <f>IF(RY$5="","",IF(RY$5+1&lt;=Vehicles!$C$8,RY$5+1,""))</f>
        <v/>
      </c>
      <c r="SA5" s="2" t="str">
        <f>IF(RZ$5="","",IF(RZ$5+1&lt;=Vehicles!$C$8,RZ$5+1,""))</f>
        <v/>
      </c>
      <c r="SB5" s="2" t="str">
        <f>IF(SA$5="","",IF(SA$5+1&lt;=Vehicles!$C$8,SA$5+1,""))</f>
        <v/>
      </c>
      <c r="SC5" s="2" t="str">
        <f>IF(SB$5="","",IF(SB$5+1&lt;=Vehicles!$C$8,SB$5+1,""))</f>
        <v/>
      </c>
      <c r="SD5" s="2" t="str">
        <f>IF(SC$5="","",IF(SC$5+1&lt;=Vehicles!$C$8,SC$5+1,""))</f>
        <v/>
      </c>
      <c r="SE5" s="2" t="str">
        <f>IF(SD$5="","",IF(SD$5+1&lt;=Vehicles!$C$8,SD$5+1,""))</f>
        <v/>
      </c>
      <c r="SF5" s="2" t="str">
        <f>IF(SE$5="","",IF(SE$5+1&lt;=Vehicles!$C$8,SE$5+1,""))</f>
        <v/>
      </c>
      <c r="SG5" s="2" t="str">
        <f>IF(SF$5="","",IF(SF$5+1&lt;=Vehicles!$C$8,SF$5+1,""))</f>
        <v/>
      </c>
      <c r="SH5" s="2" t="str">
        <f>IF(SG$5="","",IF(SG$5+1&lt;=Vehicles!$C$8,SG$5+1,""))</f>
        <v/>
      </c>
      <c r="SI5" s="2" t="str">
        <f>IF(SH$5="","",IF(SH$5+1&lt;=Vehicles!$C$8,SH$5+1,""))</f>
        <v/>
      </c>
      <c r="SJ5" s="2" t="str">
        <f>IF(SI$5="","",IF(SI$5+1&lt;=Vehicles!$C$8,SI$5+1,""))</f>
        <v/>
      </c>
      <c r="SK5" s="2" t="str">
        <f>IF(SJ$5="","",IF(SJ$5+1&lt;=Vehicles!$C$8,SJ$5+1,""))</f>
        <v/>
      </c>
      <c r="SL5" s="2" t="str">
        <f>IF(SK$5="","",IF(SK$5+1&lt;=Vehicles!$C$8,SK$5+1,""))</f>
        <v/>
      </c>
      <c r="SM5" s="2" t="str">
        <f>IF(SL$5="","",IF(SL$5+1&lt;=Vehicles!$C$8,SL$5+1,""))</f>
        <v/>
      </c>
      <c r="SN5" s="2" t="str">
        <f>IF(SM$5="","",IF(SM$5+1&lt;=Vehicles!$C$8,SM$5+1,""))</f>
        <v/>
      </c>
      <c r="SO5" s="2" t="str">
        <f>IF(SN$5="","",IF(SN$5+1&lt;=Vehicles!$C$8,SN$5+1,""))</f>
        <v/>
      </c>
      <c r="SP5" s="2" t="str">
        <f>IF(SO$5="","",IF(SO$5+1&lt;=Vehicles!$C$8,SO$5+1,""))</f>
        <v/>
      </c>
      <c r="SQ5" s="2" t="str">
        <f>IF(SP$5="","",IF(SP$5+1&lt;=Vehicles!$C$8,SP$5+1,""))</f>
        <v/>
      </c>
      <c r="SR5" s="2" t="str">
        <f>IF(SQ$5="","",IF(SQ$5+1&lt;=Vehicles!$C$8,SQ$5+1,""))</f>
        <v/>
      </c>
      <c r="SS5" s="2" t="str">
        <f>IF(SR$5="","",IF(SR$5+1&lt;=Vehicles!$C$8,SR$5+1,""))</f>
        <v/>
      </c>
      <c r="ST5" s="2" t="str">
        <f>IF(SS$5="","",IF(SS$5+1&lt;=Vehicles!$C$8,SS$5+1,""))</f>
        <v/>
      </c>
      <c r="SU5" s="2" t="str">
        <f>IF(ST$5="","",IF(ST$5+1&lt;=Vehicles!$C$8,ST$5+1,""))</f>
        <v/>
      </c>
      <c r="SV5" s="2" t="str">
        <f>IF(SU$5="","",IF(SU$5+1&lt;=Vehicles!$C$8,SU$5+1,""))</f>
        <v/>
      </c>
      <c r="SW5" s="2" t="str">
        <f>IF(SV$5="","",IF(SV$5+1&lt;=Vehicles!$C$8,SV$5+1,""))</f>
        <v/>
      </c>
      <c r="SX5" s="2" t="str">
        <f>IF(SW$5="","",IF(SW$5+1&lt;=Vehicles!$C$8,SW$5+1,""))</f>
        <v/>
      </c>
      <c r="SY5" s="2" t="str">
        <f>IF(SX$5="","",IF(SX$5+1&lt;=Vehicles!$C$8,SX$5+1,""))</f>
        <v/>
      </c>
      <c r="SZ5" s="2" t="str">
        <f>IF(SY$5="","",IF(SY$5+1&lt;=Vehicles!$C$8,SY$5+1,""))</f>
        <v/>
      </c>
      <c r="TA5" s="2" t="str">
        <f>IF(SZ$5="","",IF(SZ$5+1&lt;=Vehicles!$C$8,SZ$5+1,""))</f>
        <v/>
      </c>
      <c r="TB5" s="2" t="str">
        <f>IF(TA$5="","",IF(TA$5+1&lt;=Vehicles!$C$8,TA$5+1,""))</f>
        <v/>
      </c>
      <c r="TC5" s="2" t="str">
        <f>IF(TB$5="","",IF(TB$5+1&lt;=Vehicles!$C$8,TB$5+1,""))</f>
        <v/>
      </c>
      <c r="TD5" s="2" t="str">
        <f>IF(TC$5="","",IF(TC$5+1&lt;=Vehicles!$C$8,TC$5+1,""))</f>
        <v/>
      </c>
      <c r="TE5" s="2" t="str">
        <f>IF(TD$5="","",IF(TD$5+1&lt;=Vehicles!$C$8,TD$5+1,""))</f>
        <v/>
      </c>
      <c r="TF5" s="2" t="str">
        <f>IF(TE$5="","",IF(TE$5+1&lt;=Vehicles!$C$8,TE$5+1,""))</f>
        <v/>
      </c>
      <c r="TG5" s="2" t="str">
        <f>IF(TF$5="","",IF(TF$5+1&lt;=Vehicles!$C$8,TF$5+1,""))</f>
        <v/>
      </c>
      <c r="TH5" s="2" t="str">
        <f>IF(TG$5="","",IF(TG$5+1&lt;=Vehicles!$C$8,TG$5+1,""))</f>
        <v/>
      </c>
      <c r="TI5" s="2" t="str">
        <f>IF(TH$5="","",IF(TH$5+1&lt;=Vehicles!$C$8,TH$5+1,""))</f>
        <v/>
      </c>
      <c r="TJ5" s="2" t="str">
        <f>IF(TI$5="","",IF(TI$5+1&lt;=Vehicles!$C$8,TI$5+1,""))</f>
        <v/>
      </c>
      <c r="TK5" s="2" t="str">
        <f>IF(TJ$5="","",IF(TJ$5+1&lt;=Vehicles!$C$8,TJ$5+1,""))</f>
        <v/>
      </c>
      <c r="TL5" s="2" t="str">
        <f>IF(TK$5="","",IF(TK$5+1&lt;=Vehicles!$C$8,TK$5+1,""))</f>
        <v/>
      </c>
      <c r="TM5" s="2" t="str">
        <f>IF(TL$5="","",IF(TL$5+1&lt;=Vehicles!$C$8,TL$5+1,""))</f>
        <v/>
      </c>
      <c r="TN5" s="2" t="str">
        <f>IF(TM$5="","",IF(TM$5+1&lt;=Vehicles!$C$8,TM$5+1,""))</f>
        <v/>
      </c>
      <c r="TO5" s="2" t="str">
        <f>IF(TN$5="","",IF(TN$5+1&lt;=Vehicles!$C$8,TN$5+1,""))</f>
        <v/>
      </c>
      <c r="TP5" s="2" t="str">
        <f>IF(TO$5="","",IF(TO$5+1&lt;=Vehicles!$C$8,TO$5+1,""))</f>
        <v/>
      </c>
      <c r="TQ5" s="2" t="str">
        <f>IF(TP$5="","",IF(TP$5+1&lt;=Vehicles!$C$8,TP$5+1,""))</f>
        <v/>
      </c>
      <c r="TR5" s="2" t="str">
        <f>IF(TQ$5="","",IF(TQ$5+1&lt;=Vehicles!$C$8,TQ$5+1,""))</f>
        <v/>
      </c>
      <c r="TS5" s="2" t="str">
        <f>IF(TR$5="","",IF(TR$5+1&lt;=Vehicles!$C$8,TR$5+1,""))</f>
        <v/>
      </c>
      <c r="TT5" s="2" t="str">
        <f>IF(TS$5="","",IF(TS$5+1&lt;=Vehicles!$C$8,TS$5+1,""))</f>
        <v/>
      </c>
      <c r="TU5" s="2" t="str">
        <f>IF(TT$5="","",IF(TT$5+1&lt;=Vehicles!$C$8,TT$5+1,""))</f>
        <v/>
      </c>
      <c r="TV5" s="2" t="str">
        <f>IF(TU$5="","",IF(TU$5+1&lt;=Vehicles!$C$8,TU$5+1,""))</f>
        <v/>
      </c>
      <c r="TW5" s="2" t="str">
        <f>IF(TV$5="","",IF(TV$5+1&lt;=Vehicles!$C$8,TV$5+1,""))</f>
        <v/>
      </c>
      <c r="TX5" s="2" t="str">
        <f>IF(TW$5="","",IF(TW$5+1&lt;=Vehicles!$C$8,TW$5+1,""))</f>
        <v/>
      </c>
      <c r="TY5" s="2" t="str">
        <f>IF(TX$5="","",IF(TX$5+1&lt;=Vehicles!$C$8,TX$5+1,""))</f>
        <v/>
      </c>
      <c r="TZ5" s="2" t="str">
        <f>IF(TY$5="","",IF(TY$5+1&lt;=Vehicles!$C$8,TY$5+1,""))</f>
        <v/>
      </c>
      <c r="UA5" s="2" t="str">
        <f>IF(TZ$5="","",IF(TZ$5+1&lt;=Vehicles!$C$8,TZ$5+1,""))</f>
        <v/>
      </c>
      <c r="UB5" s="2" t="str">
        <f>IF(UA$5="","",IF(UA$5+1&lt;=Vehicles!$C$8,UA$5+1,""))</f>
        <v/>
      </c>
      <c r="UC5" s="2" t="str">
        <f>IF(UB$5="","",IF(UB$5+1&lt;=Vehicles!$C$8,UB$5+1,""))</f>
        <v/>
      </c>
      <c r="UD5" s="2" t="str">
        <f>IF(UC$5="","",IF(UC$5+1&lt;=Vehicles!$C$8,UC$5+1,""))</f>
        <v/>
      </c>
      <c r="UE5" s="2" t="str">
        <f>IF(UD$5="","",IF(UD$5+1&lt;=Vehicles!$C$8,UD$5+1,""))</f>
        <v/>
      </c>
      <c r="UF5" s="2" t="str">
        <f>IF(UE$5="","",IF(UE$5+1&lt;=Vehicles!$C$8,UE$5+1,""))</f>
        <v/>
      </c>
      <c r="UG5" s="2" t="str">
        <f>IF(UF$5="","",IF(UF$5+1&lt;=Vehicles!$C$8,UF$5+1,""))</f>
        <v/>
      </c>
      <c r="UH5" s="2" t="str">
        <f>IF(UG$5="","",IF(UG$5+1&lt;=Vehicles!$C$8,UG$5+1,""))</f>
        <v/>
      </c>
      <c r="UI5" s="2" t="str">
        <f>IF(UH$5="","",IF(UH$5+1&lt;=Vehicles!$C$8,UH$5+1,""))</f>
        <v/>
      </c>
      <c r="UJ5" s="2" t="str">
        <f>IF(UI$5="","",IF(UI$5+1&lt;=Vehicles!$C$8,UI$5+1,""))</f>
        <v/>
      </c>
      <c r="UK5" s="2" t="str">
        <f>IF(UJ$5="","",IF(UJ$5+1&lt;=Vehicles!$C$8,UJ$5+1,""))</f>
        <v/>
      </c>
      <c r="UL5" s="2" t="str">
        <f>IF(UK$5="","",IF(UK$5+1&lt;=Vehicles!$C$8,UK$5+1,""))</f>
        <v/>
      </c>
      <c r="UM5" s="2" t="str">
        <f>IF(UL$5="","",IF(UL$5+1&lt;=Vehicles!$C$8,UL$5+1,""))</f>
        <v/>
      </c>
      <c r="UN5" s="2" t="str">
        <f>IF(UM$5="","",IF(UM$5+1&lt;=Vehicles!$C$8,UM$5+1,""))</f>
        <v/>
      </c>
      <c r="UO5" s="2" t="str">
        <f>IF(UN$5="","",IF(UN$5+1&lt;=Vehicles!$C$8,UN$5+1,""))</f>
        <v/>
      </c>
      <c r="UP5" s="2" t="str">
        <f>IF(UO$5="","",IF(UO$5+1&lt;=Vehicles!$C$8,UO$5+1,""))</f>
        <v/>
      </c>
      <c r="UQ5" s="2" t="str">
        <f>IF(UP$5="","",IF(UP$5+1&lt;=Vehicles!$C$8,UP$5+1,""))</f>
        <v/>
      </c>
      <c r="UR5" s="2" t="str">
        <f>IF(UQ$5="","",IF(UQ$5+1&lt;=Vehicles!$C$8,UQ$5+1,""))</f>
        <v/>
      </c>
      <c r="US5" s="2" t="str">
        <f>IF(UR$5="","",IF(UR$5+1&lt;=Vehicles!$C$8,UR$5+1,""))</f>
        <v/>
      </c>
      <c r="UT5" s="2" t="str">
        <f>IF(US$5="","",IF(US$5+1&lt;=Vehicles!$C$8,US$5+1,""))</f>
        <v/>
      </c>
      <c r="UU5" s="2" t="str">
        <f>IF(UT$5="","",IF(UT$5+1&lt;=Vehicles!$C$8,UT$5+1,""))</f>
        <v/>
      </c>
      <c r="UV5" s="2" t="str">
        <f>IF(UU$5="","",IF(UU$5+1&lt;=Vehicles!$C$8,UU$5+1,""))</f>
        <v/>
      </c>
      <c r="UW5" s="2" t="str">
        <f>IF(UV$5="","",IF(UV$5+1&lt;=Vehicles!$C$8,UV$5+1,""))</f>
        <v/>
      </c>
      <c r="UX5" s="2" t="str">
        <f>IF(UW$5="","",IF(UW$5+1&lt;=Vehicles!$C$8,UW$5+1,""))</f>
        <v/>
      </c>
      <c r="UY5" s="2" t="str">
        <f>IF(UX$5="","",IF(UX$5+1&lt;=Vehicles!$C$8,UX$5+1,""))</f>
        <v/>
      </c>
      <c r="UZ5" s="2" t="str">
        <f>IF(UY$5="","",IF(UY$5+1&lt;=Vehicles!$C$8,UY$5+1,""))</f>
        <v/>
      </c>
      <c r="VA5" s="2" t="str">
        <f>IF(UZ$5="","",IF(UZ$5+1&lt;=Vehicles!$C$8,UZ$5+1,""))</f>
        <v/>
      </c>
      <c r="VB5" s="2" t="str">
        <f>IF(VA$5="","",IF(VA$5+1&lt;=Vehicles!$C$8,VA$5+1,""))</f>
        <v/>
      </c>
      <c r="VC5" s="2" t="str">
        <f>IF(VB$5="","",IF(VB$5+1&lt;=Vehicles!$C$8,VB$5+1,""))</f>
        <v/>
      </c>
      <c r="VD5" s="2" t="str">
        <f>IF(VC$5="","",IF(VC$5+1&lt;=Vehicles!$C$8,VC$5+1,""))</f>
        <v/>
      </c>
      <c r="VE5" s="2" t="str">
        <f>IF(VD$5="","",IF(VD$5+1&lt;=Vehicles!$C$8,VD$5+1,""))</f>
        <v/>
      </c>
      <c r="VF5" s="2" t="str">
        <f>IF(VE$5="","",IF(VE$5+1&lt;=Vehicles!$C$8,VE$5+1,""))</f>
        <v/>
      </c>
      <c r="VG5" s="2" t="str">
        <f>IF(VF$5="","",IF(VF$5+1&lt;=Vehicles!$C$8,VF$5+1,""))</f>
        <v/>
      </c>
      <c r="VH5" s="2" t="str">
        <f>IF(VG$5="","",IF(VG$5+1&lt;=Vehicles!$C$8,VG$5+1,""))</f>
        <v/>
      </c>
      <c r="VI5" s="2" t="str">
        <f>IF(VH$5="","",IF(VH$5+1&lt;=Vehicles!$C$8,VH$5+1,""))</f>
        <v/>
      </c>
      <c r="VJ5" s="2" t="str">
        <f>IF(VI$5="","",IF(VI$5+1&lt;=Vehicles!$C$8,VI$5+1,""))</f>
        <v/>
      </c>
      <c r="VK5" s="2" t="str">
        <f>IF(VJ$5="","",IF(VJ$5+1&lt;=Vehicles!$C$8,VJ$5+1,""))</f>
        <v/>
      </c>
      <c r="VL5" s="2" t="str">
        <f>IF(VK$5="","",IF(VK$5+1&lt;=Vehicles!$C$8,VK$5+1,""))</f>
        <v/>
      </c>
      <c r="VM5" s="2" t="str">
        <f>IF(VL$5="","",IF(VL$5+1&lt;=Vehicles!$C$8,VL$5+1,""))</f>
        <v/>
      </c>
      <c r="VN5" s="2" t="str">
        <f>IF(VM$5="","",IF(VM$5+1&lt;=Vehicles!$C$8,VM$5+1,""))</f>
        <v/>
      </c>
      <c r="VO5" s="2" t="str">
        <f>IF(VN$5="","",IF(VN$5+1&lt;=Vehicles!$C$8,VN$5+1,""))</f>
        <v/>
      </c>
      <c r="VP5" s="2" t="str">
        <f>IF(VO$5="","",IF(VO$5+1&lt;=Vehicles!$C$8,VO$5+1,""))</f>
        <v/>
      </c>
      <c r="VQ5" s="2" t="str">
        <f>IF(VP$5="","",IF(VP$5+1&lt;=Vehicles!$C$8,VP$5+1,""))</f>
        <v/>
      </c>
      <c r="VR5" s="2" t="str">
        <f>IF(VQ$5="","",IF(VQ$5+1&lt;=Vehicles!$C$8,VQ$5+1,""))</f>
        <v/>
      </c>
      <c r="VS5" s="2" t="str">
        <f>IF(VR$5="","",IF(VR$5+1&lt;=Vehicles!$C$8,VR$5+1,""))</f>
        <v/>
      </c>
      <c r="VT5" s="2" t="str">
        <f>IF(VS$5="","",IF(VS$5+1&lt;=Vehicles!$C$8,VS$5+1,""))</f>
        <v/>
      </c>
      <c r="VU5" s="2" t="str">
        <f>IF(VT$5="","",IF(VT$5+1&lt;=Vehicles!$C$8,VT$5+1,""))</f>
        <v/>
      </c>
      <c r="VV5" s="2" t="str">
        <f>IF(VU$5="","",IF(VU$5+1&lt;=Vehicles!$C$8,VU$5+1,""))</f>
        <v/>
      </c>
      <c r="VW5" s="2" t="str">
        <f>IF(VV$5="","",IF(VV$5+1&lt;=Vehicles!$C$8,VV$5+1,""))</f>
        <v/>
      </c>
      <c r="VX5" s="2" t="str">
        <f>IF(VW$5="","",IF(VW$5+1&lt;=Vehicles!$C$8,VW$5+1,""))</f>
        <v/>
      </c>
      <c r="VY5" s="2" t="str">
        <f>IF(VX$5="","",IF(VX$5+1&lt;=Vehicles!$C$8,VX$5+1,""))</f>
        <v/>
      </c>
      <c r="VZ5" s="2" t="str">
        <f>IF(VY$5="","",IF(VY$5+1&lt;=Vehicles!$C$8,VY$5+1,""))</f>
        <v/>
      </c>
      <c r="WA5" s="2" t="str">
        <f>IF(VZ$5="","",IF(VZ$5+1&lt;=Vehicles!$C$8,VZ$5+1,""))</f>
        <v/>
      </c>
      <c r="WB5" s="2" t="str">
        <f>IF(WA$5="","",IF(WA$5+1&lt;=Vehicles!$C$8,WA$5+1,""))</f>
        <v/>
      </c>
      <c r="WC5" s="2" t="str">
        <f>IF(WB$5="","",IF(WB$5+1&lt;=Vehicles!$C$8,WB$5+1,""))</f>
        <v/>
      </c>
      <c r="WD5" s="2" t="str">
        <f>IF(WC$5="","",IF(WC$5+1&lt;=Vehicles!$C$8,WC$5+1,""))</f>
        <v/>
      </c>
      <c r="WE5" s="2" t="str">
        <f>IF(WD$5="","",IF(WD$5+1&lt;=Vehicles!$C$8,WD$5+1,""))</f>
        <v/>
      </c>
      <c r="WF5" s="2" t="str">
        <f>IF(WE$5="","",IF(WE$5+1&lt;=Vehicles!$C$8,WE$5+1,""))</f>
        <v/>
      </c>
      <c r="WG5" s="2" t="str">
        <f>IF(WF$5="","",IF(WF$5+1&lt;=Vehicles!$C$8,WF$5+1,""))</f>
        <v/>
      </c>
      <c r="WH5" s="2" t="str">
        <f>IF(WG$5="","",IF(WG$5+1&lt;=Vehicles!$C$8,WG$5+1,""))</f>
        <v/>
      </c>
      <c r="WI5" s="2" t="str">
        <f>IF(WH$5="","",IF(WH$5+1&lt;=Vehicles!$C$8,WH$5+1,""))</f>
        <v/>
      </c>
      <c r="WJ5" s="2" t="str">
        <f>IF(WI$5="","",IF(WI$5+1&lt;=Vehicles!$C$8,WI$5+1,""))</f>
        <v/>
      </c>
      <c r="WK5" s="2" t="str">
        <f>IF(WJ$5="","",IF(WJ$5+1&lt;=Vehicles!$C$8,WJ$5+1,""))</f>
        <v/>
      </c>
      <c r="WL5" s="2" t="str">
        <f>IF(WK$5="","",IF(WK$5+1&lt;=Vehicles!$C$8,WK$5+1,""))</f>
        <v/>
      </c>
      <c r="WM5" s="2" t="str">
        <f>IF(WL$5="","",IF(WL$5+1&lt;=Vehicles!$C$8,WL$5+1,""))</f>
        <v/>
      </c>
      <c r="WN5" s="2" t="str">
        <f>IF(WM$5="","",IF(WM$5+1&lt;=Vehicles!$C$8,WM$5+1,""))</f>
        <v/>
      </c>
      <c r="WO5" s="2" t="str">
        <f>IF(WN$5="","",IF(WN$5+1&lt;=Vehicles!$C$8,WN$5+1,""))</f>
        <v/>
      </c>
      <c r="WP5" s="2" t="str">
        <f>IF(WO$5="","",IF(WO$5+1&lt;=Vehicles!$C$8,WO$5+1,""))</f>
        <v/>
      </c>
      <c r="WQ5" s="2" t="str">
        <f>IF(WP$5="","",IF(WP$5+1&lt;=Vehicles!$C$8,WP$5+1,""))</f>
        <v/>
      </c>
      <c r="WR5" s="2" t="str">
        <f>IF(WQ$5="","",IF(WQ$5+1&lt;=Vehicles!$C$8,WQ$5+1,""))</f>
        <v/>
      </c>
      <c r="WS5" s="2" t="str">
        <f>IF(WR$5="","",IF(WR$5+1&lt;=Vehicles!$C$8,WR$5+1,""))</f>
        <v/>
      </c>
      <c r="WT5" s="2" t="str">
        <f>IF(WS$5="","",IF(WS$5+1&lt;=Vehicles!$C$8,WS$5+1,""))</f>
        <v/>
      </c>
      <c r="WU5" s="2" t="str">
        <f>IF(WT$5="","",IF(WT$5+1&lt;=Vehicles!$C$8,WT$5+1,""))</f>
        <v/>
      </c>
      <c r="WV5" s="2" t="str">
        <f>IF(WU$5="","",IF(WU$5+1&lt;=Vehicles!$C$8,WU$5+1,""))</f>
        <v/>
      </c>
      <c r="WW5" s="2" t="str">
        <f>IF(WV$5="","",IF(WV$5+1&lt;=Vehicles!$C$8,WV$5+1,""))</f>
        <v/>
      </c>
      <c r="WX5" s="2" t="str">
        <f>IF(WW$5="","",IF(WW$5+1&lt;=Vehicles!$C$8,WW$5+1,""))</f>
        <v/>
      </c>
      <c r="WY5" s="2" t="str">
        <f>IF(WX$5="","",IF(WX$5+1&lt;=Vehicles!$C$8,WX$5+1,""))</f>
        <v/>
      </c>
      <c r="WZ5" s="2" t="str">
        <f>IF(WY$5="","",IF(WY$5+1&lt;=Vehicles!$C$8,WY$5+1,""))</f>
        <v/>
      </c>
      <c r="XA5" s="2" t="str">
        <f>IF(WZ$5="","",IF(WZ$5+1&lt;=Vehicles!$C$8,WZ$5+1,""))</f>
        <v/>
      </c>
      <c r="XB5" s="2" t="str">
        <f>IF(XA$5="","",IF(XA$5+1&lt;=Vehicles!$C$8,XA$5+1,""))</f>
        <v/>
      </c>
      <c r="XC5" s="2" t="str">
        <f>IF(XB$5="","",IF(XB$5+1&lt;=Vehicles!$C$8,XB$5+1,""))</f>
        <v/>
      </c>
      <c r="XD5" s="2" t="str">
        <f>IF(XC$5="","",IF(XC$5+1&lt;=Vehicles!$C$8,XC$5+1,""))</f>
        <v/>
      </c>
      <c r="XE5" s="2" t="str">
        <f>IF(XD$5="","",IF(XD$5+1&lt;=Vehicles!$C$8,XD$5+1,""))</f>
        <v/>
      </c>
      <c r="XF5" s="2" t="str">
        <f>IF(XE$5="","",IF(XE$5+1&lt;=Vehicles!$C$8,XE$5+1,""))</f>
        <v/>
      </c>
      <c r="XG5" s="2" t="str">
        <f>IF(XF$5="","",IF(XF$5+1&lt;=Vehicles!$C$8,XF$5+1,""))</f>
        <v/>
      </c>
      <c r="XH5" s="2" t="str">
        <f>IF(XG$5="","",IF(XG$5+1&lt;=Vehicles!$C$8,XG$5+1,""))</f>
        <v/>
      </c>
      <c r="XI5" s="2" t="str">
        <f>IF(XH$5="","",IF(XH$5+1&lt;=Vehicles!$C$8,XH$5+1,""))</f>
        <v/>
      </c>
      <c r="XJ5" s="2" t="str">
        <f>IF(XI$5="","",IF(XI$5+1&lt;=Vehicles!$C$8,XI$5+1,""))</f>
        <v/>
      </c>
      <c r="XK5" s="2" t="str">
        <f>IF(XJ$5="","",IF(XJ$5+1&lt;=Vehicles!$C$8,XJ$5+1,""))</f>
        <v/>
      </c>
      <c r="XL5" s="2" t="str">
        <f>IF(XK$5="","",IF(XK$5+1&lt;=Vehicles!$C$8,XK$5+1,""))</f>
        <v/>
      </c>
      <c r="XM5" s="2" t="str">
        <f>IF(XL$5="","",IF(XL$5+1&lt;=Vehicles!$C$8,XL$5+1,""))</f>
        <v/>
      </c>
      <c r="XN5" s="2" t="str">
        <f>IF(XM$5="","",IF(XM$5+1&lt;=Vehicles!$C$8,XM$5+1,""))</f>
        <v/>
      </c>
      <c r="XO5" s="2" t="str">
        <f>IF(XN$5="","",IF(XN$5+1&lt;=Vehicles!$C$8,XN$5+1,""))</f>
        <v/>
      </c>
      <c r="XP5" s="2" t="str">
        <f>IF(XO$5="","",IF(XO$5+1&lt;=Vehicles!$C$8,XO$5+1,""))</f>
        <v/>
      </c>
      <c r="XQ5" s="2" t="str">
        <f>IF(XP$5="","",IF(XP$5+1&lt;=Vehicles!$C$8,XP$5+1,""))</f>
        <v/>
      </c>
      <c r="XR5" s="2" t="str">
        <f>IF(XQ$5="","",IF(XQ$5+1&lt;=Vehicles!$C$8,XQ$5+1,""))</f>
        <v/>
      </c>
      <c r="XS5" s="2" t="str">
        <f>IF(XR$5="","",IF(XR$5+1&lt;=Vehicles!$C$8,XR$5+1,""))</f>
        <v/>
      </c>
      <c r="XT5" s="2" t="str">
        <f>IF(XS$5="","",IF(XS$5+1&lt;=Vehicles!$C$8,XS$5+1,""))</f>
        <v/>
      </c>
      <c r="XU5" s="2" t="str">
        <f>IF(XT$5="","",IF(XT$5+1&lt;=Vehicles!$C$8,XT$5+1,""))</f>
        <v/>
      </c>
      <c r="XV5" s="2" t="str">
        <f>IF(XU$5="","",IF(XU$5+1&lt;=Vehicles!$C$8,XU$5+1,""))</f>
        <v/>
      </c>
      <c r="XW5" s="2" t="str">
        <f>IF(XV$5="","",IF(XV$5+1&lt;=Vehicles!$C$8,XV$5+1,""))</f>
        <v/>
      </c>
      <c r="XX5" s="2" t="str">
        <f>IF(XW$5="","",IF(XW$5+1&lt;=Vehicles!$C$8,XW$5+1,""))</f>
        <v/>
      </c>
      <c r="XY5" s="2" t="str">
        <f>IF(XX$5="","",IF(XX$5+1&lt;=Vehicles!$C$8,XX$5+1,""))</f>
        <v/>
      </c>
      <c r="XZ5" s="2" t="str">
        <f>IF(XY$5="","",IF(XY$5+1&lt;=Vehicles!$C$8,XY$5+1,""))</f>
        <v/>
      </c>
      <c r="YA5" s="2" t="str">
        <f>IF(XZ$5="","",IF(XZ$5+1&lt;=Vehicles!$C$8,XZ$5+1,""))</f>
        <v/>
      </c>
      <c r="YB5" s="2" t="str">
        <f>IF(YA$5="","",IF(YA$5+1&lt;=Vehicles!$C$8,YA$5+1,""))</f>
        <v/>
      </c>
      <c r="YC5" s="2" t="str">
        <f>IF(YB$5="","",IF(YB$5+1&lt;=Vehicles!$C$8,YB$5+1,""))</f>
        <v/>
      </c>
      <c r="YD5" s="2" t="str">
        <f>IF(YC$5="","",IF(YC$5+1&lt;=Vehicles!$C$8,YC$5+1,""))</f>
        <v/>
      </c>
      <c r="YE5" s="2" t="str">
        <f>IF(YD$5="","",IF(YD$5+1&lt;=Vehicles!$C$8,YD$5+1,""))</f>
        <v/>
      </c>
      <c r="YF5" s="2" t="str">
        <f>IF(YE$5="","",IF(YE$5+1&lt;=Vehicles!$C$8,YE$5+1,""))</f>
        <v/>
      </c>
      <c r="YG5" s="2" t="str">
        <f>IF(YF$5="","",IF(YF$5+1&lt;=Vehicles!$C$8,YF$5+1,""))</f>
        <v/>
      </c>
      <c r="YH5" s="2" t="str">
        <f>IF(YG$5="","",IF(YG$5+1&lt;=Vehicles!$C$8,YG$5+1,""))</f>
        <v/>
      </c>
      <c r="YI5" s="2" t="str">
        <f>IF(YH$5="","",IF(YH$5+1&lt;=Vehicles!$C$8,YH$5+1,""))</f>
        <v/>
      </c>
      <c r="YJ5" s="2" t="str">
        <f>IF(YI$5="","",IF(YI$5+1&lt;=Vehicles!$C$8,YI$5+1,""))</f>
        <v/>
      </c>
      <c r="YK5" s="2" t="str">
        <f>IF(YJ$5="","",IF(YJ$5+1&lt;=Vehicles!$C$8,YJ$5+1,""))</f>
        <v/>
      </c>
      <c r="YL5" s="2" t="str">
        <f>IF(YK$5="","",IF(YK$5+1&lt;=Vehicles!$C$8,YK$5+1,""))</f>
        <v/>
      </c>
      <c r="YM5" s="2" t="str">
        <f>IF(YL$5="","",IF(YL$5+1&lt;=Vehicles!$C$8,YL$5+1,""))</f>
        <v/>
      </c>
      <c r="YN5" s="2" t="str">
        <f>IF(YM$5="","",IF(YM$5+1&lt;=Vehicles!$C$8,YM$5+1,""))</f>
        <v/>
      </c>
      <c r="YO5" s="2" t="str">
        <f>IF(YN$5="","",IF(YN$5+1&lt;=Vehicles!$C$8,YN$5+1,""))</f>
        <v/>
      </c>
      <c r="YP5" s="2" t="str">
        <f>IF(YO$5="","",IF(YO$5+1&lt;=Vehicles!$C$8,YO$5+1,""))</f>
        <v/>
      </c>
      <c r="YQ5" s="2" t="str">
        <f>IF(YP$5="","",IF(YP$5+1&lt;=Vehicles!$C$8,YP$5+1,""))</f>
        <v/>
      </c>
      <c r="YR5" s="2" t="str">
        <f>IF(YQ$5="","",IF(YQ$5+1&lt;=Vehicles!$C$8,YQ$5+1,""))</f>
        <v/>
      </c>
      <c r="YS5" s="2" t="str">
        <f>IF(YR$5="","",IF(YR$5+1&lt;=Vehicles!$C$8,YR$5+1,""))</f>
        <v/>
      </c>
      <c r="YT5" s="2" t="str">
        <f>IF(YS$5="","",IF(YS$5+1&lt;=Vehicles!$C$8,YS$5+1,""))</f>
        <v/>
      </c>
      <c r="YU5" s="2" t="str">
        <f>IF(YT$5="","",IF(YT$5+1&lt;=Vehicles!$C$8,YT$5+1,""))</f>
        <v/>
      </c>
      <c r="YV5" s="2" t="str">
        <f>IF(YU$5="","",IF(YU$5+1&lt;=Vehicles!$C$8,YU$5+1,""))</f>
        <v/>
      </c>
      <c r="YW5" s="2" t="str">
        <f>IF(YV$5="","",IF(YV$5+1&lt;=Vehicles!$C$8,YV$5+1,""))</f>
        <v/>
      </c>
      <c r="YX5" s="2" t="str">
        <f>IF(YW$5="","",IF(YW$5+1&lt;=Vehicles!$C$8,YW$5+1,""))</f>
        <v/>
      </c>
      <c r="YY5" s="2" t="str">
        <f>IF(YX$5="","",IF(YX$5+1&lt;=Vehicles!$C$8,YX$5+1,""))</f>
        <v/>
      </c>
      <c r="YZ5" s="2" t="str">
        <f>IF(YY$5="","",IF(YY$5+1&lt;=Vehicles!$C$8,YY$5+1,""))</f>
        <v/>
      </c>
      <c r="ZA5" s="2" t="str">
        <f>IF(YZ$5="","",IF(YZ$5+1&lt;=Vehicles!$C$8,YZ$5+1,""))</f>
        <v/>
      </c>
      <c r="ZB5" s="2" t="str">
        <f>IF(ZA$5="","",IF(ZA$5+1&lt;=Vehicles!$C$8,ZA$5+1,""))</f>
        <v/>
      </c>
      <c r="ZC5" s="2" t="str">
        <f>IF(ZB$5="","",IF(ZB$5+1&lt;=Vehicles!$C$8,ZB$5+1,""))</f>
        <v/>
      </c>
      <c r="ZD5" s="2" t="str">
        <f>IF(ZC$5="","",IF(ZC$5+1&lt;=Vehicles!$C$8,ZC$5+1,""))</f>
        <v/>
      </c>
      <c r="ZE5" s="2" t="str">
        <f>IF(ZD$5="","",IF(ZD$5+1&lt;=Vehicles!$C$8,ZD$5+1,""))</f>
        <v/>
      </c>
      <c r="ZF5" s="2" t="str">
        <f>IF(ZE$5="","",IF(ZE$5+1&lt;=Vehicles!$C$8,ZE$5+1,""))</f>
        <v/>
      </c>
      <c r="ZG5" s="2" t="str">
        <f>IF(ZF$5="","",IF(ZF$5+1&lt;=Vehicles!$C$8,ZF$5+1,""))</f>
        <v/>
      </c>
      <c r="ZH5" s="2" t="str">
        <f>IF(ZG$5="","",IF(ZG$5+1&lt;=Vehicles!$C$8,ZG$5+1,""))</f>
        <v/>
      </c>
      <c r="ZI5" s="2" t="str">
        <f>IF(ZH$5="","",IF(ZH$5+1&lt;=Vehicles!$C$8,ZH$5+1,""))</f>
        <v/>
      </c>
      <c r="ZJ5" s="2" t="str">
        <f>IF(ZI$5="","",IF(ZI$5+1&lt;=Vehicles!$C$8,ZI$5+1,""))</f>
        <v/>
      </c>
      <c r="ZK5" s="2" t="str">
        <f>IF(ZJ$5="","",IF(ZJ$5+1&lt;=Vehicles!$C$8,ZJ$5+1,""))</f>
        <v/>
      </c>
      <c r="ZL5" s="2" t="str">
        <f>IF(ZK$5="","",IF(ZK$5+1&lt;=Vehicles!$C$8,ZK$5+1,""))</f>
        <v/>
      </c>
      <c r="ZM5" s="2" t="str">
        <f>IF(ZL$5="","",IF(ZL$5+1&lt;=Vehicles!$C$8,ZL$5+1,""))</f>
        <v/>
      </c>
      <c r="ZN5" s="2" t="str">
        <f>IF(ZM$5="","",IF(ZM$5+1&lt;=Vehicles!$C$8,ZM$5+1,""))</f>
        <v/>
      </c>
      <c r="ZO5" s="2" t="str">
        <f>IF(ZN$5="","",IF(ZN$5+1&lt;=Vehicles!$C$8,ZN$5+1,""))</f>
        <v/>
      </c>
      <c r="ZP5" s="2" t="str">
        <f>IF(ZO$5="","",IF(ZO$5+1&lt;=Vehicles!$C$8,ZO$5+1,""))</f>
        <v/>
      </c>
      <c r="ZQ5" s="2" t="str">
        <f>IF(ZP$5="","",IF(ZP$5+1&lt;=Vehicles!$C$8,ZP$5+1,""))</f>
        <v/>
      </c>
      <c r="ZR5" s="2" t="str">
        <f>IF(ZQ$5="","",IF(ZQ$5+1&lt;=Vehicles!$C$8,ZQ$5+1,""))</f>
        <v/>
      </c>
      <c r="ZS5" s="2" t="str">
        <f>IF(ZR$5="","",IF(ZR$5+1&lt;=Vehicles!$C$8,ZR$5+1,""))</f>
        <v/>
      </c>
      <c r="ZT5" s="2" t="str">
        <f>IF(ZS$5="","",IF(ZS$5+1&lt;=Vehicles!$C$8,ZS$5+1,""))</f>
        <v/>
      </c>
      <c r="ZU5" s="2" t="str">
        <f>IF(ZT$5="","",IF(ZT$5+1&lt;=Vehicles!$C$8,ZT$5+1,""))</f>
        <v/>
      </c>
      <c r="ZV5" s="2" t="str">
        <f>IF(ZU$5="","",IF(ZU$5+1&lt;=Vehicles!$C$8,ZU$5+1,""))</f>
        <v/>
      </c>
      <c r="ZW5" s="2" t="str">
        <f>IF(ZV$5="","",IF(ZV$5+1&lt;=Vehicles!$C$8,ZV$5+1,""))</f>
        <v/>
      </c>
      <c r="ZX5" s="2" t="str">
        <f>IF(ZW$5="","",IF(ZW$5+1&lt;=Vehicles!$C$8,ZW$5+1,""))</f>
        <v/>
      </c>
      <c r="ZY5" s="2" t="str">
        <f>IF(ZX$5="","",IF(ZX$5+1&lt;=Vehicles!$C$8,ZX$5+1,""))</f>
        <v/>
      </c>
      <c r="ZZ5" s="2" t="str">
        <f>IF(ZY$5="","",IF(ZY$5+1&lt;=Vehicles!$C$8,ZY$5+1,""))</f>
        <v/>
      </c>
    </row>
    <row r="6" spans="2:702" s="2" customFormat="1" ht="15" customHeight="1" x14ac:dyDescent="0.2"/>
    <row r="7" spans="2:702" ht="15" customHeight="1" x14ac:dyDescent="0.2">
      <c r="B7" s="17" t="s">
        <v>30</v>
      </c>
      <c r="C7" s="8"/>
      <c r="D7" s="5"/>
      <c r="E7" s="5"/>
    </row>
    <row r="8" spans="2:702" s="22" customFormat="1" ht="15" customHeight="1" x14ac:dyDescent="0.2">
      <c r="B8" s="18"/>
      <c r="C8" s="19"/>
      <c r="D8" s="20"/>
      <c r="E8" s="20"/>
      <c r="F8" s="21"/>
      <c r="G8" s="21"/>
    </row>
    <row r="9" spans="2:702" ht="15" customHeight="1" x14ac:dyDescent="0.2">
      <c r="B9" s="4" t="s">
        <v>32</v>
      </c>
      <c r="C9" s="15">
        <v>28.234867294741413</v>
      </c>
      <c r="D9" s="15">
        <v>28.234867294741413</v>
      </c>
      <c r="E9" s="15">
        <v>28.234867294741413</v>
      </c>
      <c r="F9" s="15">
        <v>28.234867294741413</v>
      </c>
      <c r="G9" s="15">
        <v>28.234867294741413</v>
      </c>
      <c r="H9" s="15">
        <v>28.234867294741413</v>
      </c>
      <c r="I9" s="15">
        <v>28.234867294741413</v>
      </c>
      <c r="J9" s="15">
        <v>28.234867294741413</v>
      </c>
      <c r="K9" s="15">
        <v>28.234867294741413</v>
      </c>
      <c r="L9" s="15">
        <v>28.234867294741413</v>
      </c>
      <c r="M9" s="15">
        <v>28.234867294741413</v>
      </c>
      <c r="N9" s="15">
        <v>28.234867294741413</v>
      </c>
      <c r="O9" s="15">
        <v>28.234867294741413</v>
      </c>
      <c r="P9" s="15">
        <v>28.234867294741413</v>
      </c>
      <c r="Q9" s="15">
        <v>28.234867294741413</v>
      </c>
      <c r="R9" s="15">
        <v>28.234867294741413</v>
      </c>
      <c r="S9" s="15">
        <v>28.234867294741413</v>
      </c>
      <c r="T9" s="15">
        <v>28.234867294741413</v>
      </c>
      <c r="U9" s="15">
        <v>28.234867294741413</v>
      </c>
      <c r="V9" s="15">
        <v>28.234867294741413</v>
      </c>
      <c r="W9" s="15">
        <v>28.234867294741413</v>
      </c>
      <c r="X9" s="15">
        <v>28.234867294741413</v>
      </c>
      <c r="Y9" s="15">
        <v>28.234867294741413</v>
      </c>
      <c r="Z9" s="15">
        <v>28.234867294741413</v>
      </c>
      <c r="AA9" s="15">
        <v>28.234867294741413</v>
      </c>
      <c r="AB9" s="15">
        <v>28.234867294741413</v>
      </c>
      <c r="AC9" s="15">
        <v>28.234867294741413</v>
      </c>
      <c r="AD9" s="15">
        <v>28.234867294741413</v>
      </c>
      <c r="AE9" s="15">
        <v>28.234867294741413</v>
      </c>
      <c r="AF9" s="15">
        <v>28.234867294741413</v>
      </c>
      <c r="AG9" s="15">
        <v>28.234867294741413</v>
      </c>
      <c r="AH9" s="15">
        <v>28.234867294741413</v>
      </c>
      <c r="AI9" s="15">
        <v>28.234867294741413</v>
      </c>
      <c r="AJ9" s="15">
        <v>28.234867294741413</v>
      </c>
      <c r="AK9" s="15">
        <v>28.234867294741413</v>
      </c>
      <c r="AL9" s="15">
        <v>28.234867294741413</v>
      </c>
      <c r="AM9" s="15">
        <v>28.234867294741413</v>
      </c>
      <c r="AN9" s="15">
        <v>28.234867294741413</v>
      </c>
      <c r="AO9" s="15">
        <v>28.234867294741413</v>
      </c>
      <c r="AP9" s="15">
        <v>28.234867294741413</v>
      </c>
      <c r="AQ9" s="15">
        <v>28.234867294741413</v>
      </c>
      <c r="AR9" s="15">
        <v>28.234867294741413</v>
      </c>
      <c r="AS9" s="15">
        <v>28.234867294741413</v>
      </c>
      <c r="AT9" s="15">
        <v>28.234867294741413</v>
      </c>
      <c r="AU9" s="15">
        <v>28.234867294741413</v>
      </c>
      <c r="AV9" s="15">
        <v>28.234867294741413</v>
      </c>
      <c r="AW9" s="15">
        <v>28.234867294741413</v>
      </c>
      <c r="AX9" s="15">
        <v>28.234867294741413</v>
      </c>
      <c r="AY9" s="15">
        <v>28.234867294741413</v>
      </c>
      <c r="AZ9" s="15">
        <v>28.234867294741413</v>
      </c>
      <c r="BA9" s="15">
        <v>28.234867294741413</v>
      </c>
      <c r="BB9" s="15">
        <v>28.234867294741413</v>
      </c>
      <c r="BC9" s="15">
        <v>28.234867294741413</v>
      </c>
      <c r="BD9" s="15">
        <v>28.234867294741413</v>
      </c>
      <c r="BE9" s="15">
        <v>28.234867294741413</v>
      </c>
      <c r="BF9" s="15">
        <v>28.234867294741413</v>
      </c>
      <c r="BG9" s="15">
        <v>28.234867294741413</v>
      </c>
      <c r="BH9" s="15">
        <v>28.234867294741413</v>
      </c>
      <c r="BI9" s="15">
        <v>28.234867294741413</v>
      </c>
      <c r="BJ9" s="15">
        <v>28.234867294741413</v>
      </c>
      <c r="BK9" s="15">
        <v>28.234867294741413</v>
      </c>
    </row>
    <row r="10" spans="2:702" ht="15" customHeight="1" x14ac:dyDescent="0.2">
      <c r="B10" s="4" t="s">
        <v>33</v>
      </c>
      <c r="C10" s="15">
        <v>27.40748825447341</v>
      </c>
      <c r="D10" s="15">
        <v>27.40748825447341</v>
      </c>
      <c r="E10" s="15">
        <v>27.40748825447341</v>
      </c>
      <c r="F10" s="15">
        <v>27.40748825447341</v>
      </c>
      <c r="G10" s="15">
        <v>27.40748825447341</v>
      </c>
      <c r="H10" s="15">
        <v>27.40748825447341</v>
      </c>
      <c r="I10" s="15">
        <v>27.40748825447341</v>
      </c>
      <c r="J10" s="15">
        <v>27.40748825447341</v>
      </c>
      <c r="K10" s="15">
        <v>27.40748825447341</v>
      </c>
      <c r="L10" s="15">
        <v>27.40748825447341</v>
      </c>
      <c r="M10" s="15">
        <v>27.40748825447341</v>
      </c>
      <c r="N10" s="15">
        <v>27.40748825447341</v>
      </c>
      <c r="O10" s="15">
        <v>27.40748825447341</v>
      </c>
      <c r="P10" s="15">
        <v>27.40748825447341</v>
      </c>
      <c r="Q10" s="15">
        <v>27.40748825447341</v>
      </c>
      <c r="R10" s="15">
        <v>27.40748825447341</v>
      </c>
      <c r="S10" s="15">
        <v>27.40748825447341</v>
      </c>
      <c r="T10" s="15">
        <v>27.40748825447341</v>
      </c>
      <c r="U10" s="15">
        <v>27.40748825447341</v>
      </c>
      <c r="V10" s="15">
        <v>27.40748825447341</v>
      </c>
      <c r="W10" s="15">
        <v>27.40748825447341</v>
      </c>
      <c r="X10" s="15">
        <v>27.40748825447341</v>
      </c>
      <c r="Y10" s="15">
        <v>27.40748825447341</v>
      </c>
      <c r="Z10" s="15">
        <v>27.40748825447341</v>
      </c>
      <c r="AA10" s="15">
        <v>27.40748825447341</v>
      </c>
      <c r="AB10" s="15">
        <v>27.40748825447341</v>
      </c>
      <c r="AC10" s="15">
        <v>27.40748825447341</v>
      </c>
      <c r="AD10" s="15">
        <v>27.40748825447341</v>
      </c>
      <c r="AE10" s="15">
        <v>27.40748825447341</v>
      </c>
      <c r="AF10" s="15">
        <v>27.40748825447341</v>
      </c>
      <c r="AG10" s="15">
        <v>27.40748825447341</v>
      </c>
      <c r="AH10" s="15">
        <v>27.40748825447341</v>
      </c>
      <c r="AI10" s="15">
        <v>27.40748825447341</v>
      </c>
      <c r="AJ10" s="15">
        <v>27.40748825447341</v>
      </c>
      <c r="AK10" s="15">
        <v>27.40748825447341</v>
      </c>
      <c r="AL10" s="15">
        <v>27.40748825447341</v>
      </c>
      <c r="AM10" s="15">
        <v>27.40748825447341</v>
      </c>
      <c r="AN10" s="15">
        <v>27.40748825447341</v>
      </c>
      <c r="AO10" s="15">
        <v>27.40748825447341</v>
      </c>
      <c r="AP10" s="15">
        <v>27.40748825447341</v>
      </c>
      <c r="AQ10" s="15">
        <v>27.40748825447341</v>
      </c>
      <c r="AR10" s="15">
        <v>27.40748825447341</v>
      </c>
      <c r="AS10" s="15">
        <v>27.40748825447341</v>
      </c>
      <c r="AT10" s="15">
        <v>27.40748825447341</v>
      </c>
      <c r="AU10" s="15">
        <v>27.40748825447341</v>
      </c>
      <c r="AV10" s="15">
        <v>27.40748825447341</v>
      </c>
      <c r="AW10" s="15">
        <v>27.40748825447341</v>
      </c>
      <c r="AX10" s="15">
        <v>27.40748825447341</v>
      </c>
      <c r="AY10" s="15">
        <v>27.40748825447341</v>
      </c>
      <c r="AZ10" s="15">
        <v>27.40748825447341</v>
      </c>
      <c r="BA10" s="15">
        <v>27.40748825447341</v>
      </c>
      <c r="BB10" s="15">
        <v>27.40748825447341</v>
      </c>
      <c r="BC10" s="15">
        <v>27.40748825447341</v>
      </c>
      <c r="BD10" s="15">
        <v>27.40748825447341</v>
      </c>
      <c r="BE10" s="15">
        <v>27.40748825447341</v>
      </c>
      <c r="BF10" s="15">
        <v>27.40748825447341</v>
      </c>
      <c r="BG10" s="15">
        <v>27.40748825447341</v>
      </c>
      <c r="BH10" s="15">
        <v>27.40748825447341</v>
      </c>
      <c r="BI10" s="15">
        <v>27.40748825447341</v>
      </c>
      <c r="BJ10" s="15">
        <v>27.40748825447341</v>
      </c>
      <c r="BK10" s="15">
        <v>27.40748825447341</v>
      </c>
    </row>
    <row r="11" spans="2:702" ht="15" customHeight="1" x14ac:dyDescent="0.2">
      <c r="B11" s="4" t="s">
        <v>34</v>
      </c>
      <c r="C11" s="15">
        <v>35.909284807493655</v>
      </c>
      <c r="D11" s="15">
        <v>35.909284807493655</v>
      </c>
      <c r="E11" s="15">
        <v>35.909284807493655</v>
      </c>
      <c r="F11" s="15">
        <v>35.909284807493655</v>
      </c>
      <c r="G11" s="15">
        <v>35.909284807493655</v>
      </c>
      <c r="H11" s="15">
        <v>35.909284807493655</v>
      </c>
      <c r="I11" s="15">
        <v>35.909284807493655</v>
      </c>
      <c r="J11" s="15">
        <v>35.909284807493655</v>
      </c>
      <c r="K11" s="15">
        <v>35.909284807493655</v>
      </c>
      <c r="L11" s="15">
        <v>35.909284807493655</v>
      </c>
      <c r="M11" s="15">
        <v>35.909284807493655</v>
      </c>
      <c r="N11" s="15">
        <v>35.909284807493655</v>
      </c>
      <c r="O11" s="15">
        <v>35.909284807493655</v>
      </c>
      <c r="P11" s="15">
        <v>35.909284807493655</v>
      </c>
      <c r="Q11" s="15">
        <v>35.909284807493655</v>
      </c>
      <c r="R11" s="15">
        <v>35.909284807493655</v>
      </c>
      <c r="S11" s="15">
        <v>35.909284807493655</v>
      </c>
      <c r="T11" s="15">
        <v>35.909284807493655</v>
      </c>
      <c r="U11" s="15">
        <v>35.909284807493655</v>
      </c>
      <c r="V11" s="15">
        <v>35.909284807493655</v>
      </c>
      <c r="W11" s="15">
        <v>35.909284807493655</v>
      </c>
      <c r="X11" s="15">
        <v>35.909284807493655</v>
      </c>
      <c r="Y11" s="15">
        <v>35.909284807493655</v>
      </c>
      <c r="Z11" s="15">
        <v>35.909284807493655</v>
      </c>
      <c r="AA11" s="15">
        <v>35.909284807493655</v>
      </c>
      <c r="AB11" s="15">
        <v>35.909284807493655</v>
      </c>
      <c r="AC11" s="15">
        <v>35.909284807493655</v>
      </c>
      <c r="AD11" s="15">
        <v>35.909284807493655</v>
      </c>
      <c r="AE11" s="15">
        <v>35.909284807493655</v>
      </c>
      <c r="AF11" s="15">
        <v>35.909284807493655</v>
      </c>
      <c r="AG11" s="15">
        <v>35.909284807493655</v>
      </c>
      <c r="AH11" s="15">
        <v>35.909284807493655</v>
      </c>
      <c r="AI11" s="15">
        <v>35.909284807493655</v>
      </c>
      <c r="AJ11" s="15">
        <v>35.909284807493655</v>
      </c>
      <c r="AK11" s="15">
        <v>35.909284807493655</v>
      </c>
      <c r="AL11" s="15">
        <v>35.909284807493655</v>
      </c>
      <c r="AM11" s="15">
        <v>35.909284807493655</v>
      </c>
      <c r="AN11" s="15">
        <v>35.909284807493655</v>
      </c>
      <c r="AO11" s="15">
        <v>35.909284807493655</v>
      </c>
      <c r="AP11" s="15">
        <v>35.909284807493655</v>
      </c>
      <c r="AQ11" s="15">
        <v>35.909284807493655</v>
      </c>
      <c r="AR11" s="15">
        <v>35.909284807493655</v>
      </c>
      <c r="AS11" s="15">
        <v>35.909284807493655</v>
      </c>
      <c r="AT11" s="15">
        <v>35.909284807493655</v>
      </c>
      <c r="AU11" s="15">
        <v>35.909284807493655</v>
      </c>
      <c r="AV11" s="15">
        <v>35.909284807493655</v>
      </c>
      <c r="AW11" s="15">
        <v>35.909284807493655</v>
      </c>
      <c r="AX11" s="15">
        <v>35.909284807493655</v>
      </c>
      <c r="AY11" s="15">
        <v>35.909284807493655</v>
      </c>
      <c r="AZ11" s="15">
        <v>35.909284807493655</v>
      </c>
      <c r="BA11" s="15">
        <v>35.909284807493655</v>
      </c>
      <c r="BB11" s="15">
        <v>35.909284807493655</v>
      </c>
      <c r="BC11" s="15">
        <v>35.909284807493655</v>
      </c>
      <c r="BD11" s="15">
        <v>35.909284807493655</v>
      </c>
      <c r="BE11" s="15">
        <v>35.909284807493655</v>
      </c>
      <c r="BF11" s="15">
        <v>35.909284807493655</v>
      </c>
      <c r="BG11" s="15">
        <v>35.909284807493655</v>
      </c>
      <c r="BH11" s="15">
        <v>35.909284807493655</v>
      </c>
      <c r="BI11" s="15">
        <v>35.909284807493655</v>
      </c>
      <c r="BJ11" s="15">
        <v>35.909284807493655</v>
      </c>
      <c r="BK11" s="15">
        <v>35.909284807493655</v>
      </c>
    </row>
    <row r="12" spans="2:702" ht="15" customHeight="1" x14ac:dyDescent="0.2">
      <c r="B12" s="4" t="s">
        <v>35</v>
      </c>
      <c r="C12" s="15">
        <v>7.3849909246965151</v>
      </c>
      <c r="D12" s="15">
        <v>7.3849909246965151</v>
      </c>
      <c r="E12" s="15">
        <v>7.3849909246965151</v>
      </c>
      <c r="F12" s="15">
        <v>7.3849909246965151</v>
      </c>
      <c r="G12" s="15">
        <v>7.3849909246965151</v>
      </c>
      <c r="H12" s="15">
        <v>7.3849909246965151</v>
      </c>
      <c r="I12" s="15">
        <v>7.3849909246965151</v>
      </c>
      <c r="J12" s="15">
        <v>7.3849909246965151</v>
      </c>
      <c r="K12" s="15">
        <v>7.3849909246965151</v>
      </c>
      <c r="L12" s="15">
        <v>7.3849909246965151</v>
      </c>
      <c r="M12" s="15">
        <v>7.3849909246965151</v>
      </c>
      <c r="N12" s="15">
        <v>7.3849909246965151</v>
      </c>
      <c r="O12" s="15">
        <v>7.3849909246965151</v>
      </c>
      <c r="P12" s="15">
        <v>7.3849909246965151</v>
      </c>
      <c r="Q12" s="15">
        <v>7.3849909246965151</v>
      </c>
      <c r="R12" s="15">
        <v>7.3849909246965151</v>
      </c>
      <c r="S12" s="15">
        <v>7.3849909246965151</v>
      </c>
      <c r="T12" s="15">
        <v>7.3849909246965151</v>
      </c>
      <c r="U12" s="15">
        <v>7.3849909246965151</v>
      </c>
      <c r="V12" s="15">
        <v>7.3849909246965151</v>
      </c>
      <c r="W12" s="15">
        <v>7.3849909246965151</v>
      </c>
      <c r="X12" s="15">
        <v>7.3849909246965151</v>
      </c>
      <c r="Y12" s="15">
        <v>7.3849909246965151</v>
      </c>
      <c r="Z12" s="15">
        <v>7.3849909246965151</v>
      </c>
      <c r="AA12" s="15">
        <v>7.3849909246965151</v>
      </c>
      <c r="AB12" s="15">
        <v>7.3849909246965151</v>
      </c>
      <c r="AC12" s="15">
        <v>7.3849909246965151</v>
      </c>
      <c r="AD12" s="15">
        <v>7.3849909246965151</v>
      </c>
      <c r="AE12" s="15">
        <v>7.3849909246965151</v>
      </c>
      <c r="AF12" s="15">
        <v>7.3849909246965151</v>
      </c>
      <c r="AG12" s="15">
        <v>7.3849909246965151</v>
      </c>
      <c r="AH12" s="15">
        <v>7.3849909246965151</v>
      </c>
      <c r="AI12" s="15">
        <v>7.3849909246965151</v>
      </c>
      <c r="AJ12" s="15">
        <v>7.3849909246965151</v>
      </c>
      <c r="AK12" s="15">
        <v>7.3849909246965151</v>
      </c>
      <c r="AL12" s="15">
        <v>7.3849909246965151</v>
      </c>
      <c r="AM12" s="15">
        <v>7.3849909246965151</v>
      </c>
      <c r="AN12" s="15">
        <v>7.3849909246965151</v>
      </c>
      <c r="AO12" s="15">
        <v>7.3849909246965151</v>
      </c>
      <c r="AP12" s="15">
        <v>7.3849909246965151</v>
      </c>
      <c r="AQ12" s="15">
        <v>7.3849909246965151</v>
      </c>
      <c r="AR12" s="15">
        <v>7.3849909246965151</v>
      </c>
      <c r="AS12" s="15">
        <v>7.3849909246965151</v>
      </c>
      <c r="AT12" s="15">
        <v>7.3849909246965151</v>
      </c>
      <c r="AU12" s="15">
        <v>7.3849909246965151</v>
      </c>
      <c r="AV12" s="15">
        <v>7.3849909246965151</v>
      </c>
      <c r="AW12" s="15">
        <v>7.3849909246965151</v>
      </c>
      <c r="AX12" s="15">
        <v>7.3849909246965151</v>
      </c>
      <c r="AY12" s="15">
        <v>7.3849909246965151</v>
      </c>
      <c r="AZ12" s="15">
        <v>7.3849909246965151</v>
      </c>
      <c r="BA12" s="15">
        <v>7.3849909246965151</v>
      </c>
      <c r="BB12" s="15">
        <v>7.3849909246965151</v>
      </c>
      <c r="BC12" s="15">
        <v>7.3849909246965151</v>
      </c>
      <c r="BD12" s="15">
        <v>7.3849909246965151</v>
      </c>
      <c r="BE12" s="15">
        <v>7.3849909246965151</v>
      </c>
      <c r="BF12" s="15">
        <v>7.3849909246965151</v>
      </c>
      <c r="BG12" s="15">
        <v>7.3849909246965151</v>
      </c>
      <c r="BH12" s="15">
        <v>7.3849909246965151</v>
      </c>
      <c r="BI12" s="15">
        <v>7.3849909246965151</v>
      </c>
      <c r="BJ12" s="15">
        <v>7.3849909246965151</v>
      </c>
      <c r="BK12" s="15">
        <v>7.3849909246965151</v>
      </c>
    </row>
    <row r="13" spans="2:702" ht="26.25" customHeight="1" x14ac:dyDescent="0.2"/>
    <row r="14" spans="2:702" ht="15" customHeight="1" x14ac:dyDescent="0.2">
      <c r="B14" s="17" t="s">
        <v>45</v>
      </c>
      <c r="C14" s="8"/>
      <c r="D14" s="5"/>
      <c r="E14" s="5"/>
    </row>
    <row r="15" spans="2:702" s="22" customFormat="1" ht="15" customHeight="1" x14ac:dyDescent="0.2">
      <c r="B15" s="18"/>
      <c r="C15" s="19"/>
      <c r="D15" s="20"/>
      <c r="E15" s="20"/>
      <c r="F15" s="21"/>
      <c r="G15" s="21"/>
    </row>
    <row r="16" spans="2:702" ht="15" customHeight="1" x14ac:dyDescent="0.2">
      <c r="B16" s="4" t="s">
        <v>32</v>
      </c>
      <c r="C16" s="15">
        <v>95</v>
      </c>
      <c r="D16" s="15">
        <v>95</v>
      </c>
      <c r="E16" s="15">
        <v>95</v>
      </c>
      <c r="F16" s="15">
        <v>95</v>
      </c>
      <c r="G16" s="15">
        <v>95</v>
      </c>
      <c r="H16" s="15">
        <v>95</v>
      </c>
      <c r="I16" s="15">
        <v>95</v>
      </c>
      <c r="J16" s="15">
        <v>95</v>
      </c>
      <c r="K16" s="15">
        <v>95</v>
      </c>
      <c r="L16" s="15">
        <v>95</v>
      </c>
      <c r="M16" s="15">
        <v>95</v>
      </c>
      <c r="N16" s="15">
        <v>95</v>
      </c>
      <c r="O16" s="15">
        <v>95</v>
      </c>
      <c r="P16" s="15">
        <v>95</v>
      </c>
      <c r="Q16" s="15">
        <v>95</v>
      </c>
      <c r="R16" s="15">
        <v>95</v>
      </c>
      <c r="S16" s="15">
        <v>95</v>
      </c>
      <c r="T16" s="15">
        <v>95</v>
      </c>
      <c r="U16" s="15">
        <v>95</v>
      </c>
      <c r="V16" s="15">
        <v>95</v>
      </c>
      <c r="W16" s="15">
        <v>95</v>
      </c>
      <c r="X16" s="15">
        <v>95</v>
      </c>
      <c r="Y16" s="15">
        <v>95</v>
      </c>
      <c r="Z16" s="15">
        <v>95</v>
      </c>
      <c r="AA16" s="15">
        <v>95</v>
      </c>
      <c r="AB16" s="15">
        <v>95</v>
      </c>
      <c r="AC16" s="15">
        <v>95</v>
      </c>
      <c r="AD16" s="15">
        <v>95</v>
      </c>
      <c r="AE16" s="15">
        <v>95</v>
      </c>
      <c r="AF16" s="15">
        <v>95</v>
      </c>
      <c r="AG16" s="15">
        <v>95</v>
      </c>
      <c r="AH16" s="15">
        <v>95</v>
      </c>
      <c r="AI16" s="15">
        <v>95</v>
      </c>
      <c r="AJ16" s="15">
        <v>95</v>
      </c>
      <c r="AK16" s="15">
        <v>95</v>
      </c>
      <c r="AL16" s="15">
        <v>95</v>
      </c>
      <c r="AM16" s="15">
        <v>95</v>
      </c>
      <c r="AN16" s="15">
        <v>95</v>
      </c>
      <c r="AO16" s="15">
        <v>95</v>
      </c>
      <c r="AP16" s="15">
        <v>95</v>
      </c>
      <c r="AQ16" s="15">
        <v>95</v>
      </c>
      <c r="AR16" s="15">
        <v>95</v>
      </c>
      <c r="AS16" s="15">
        <v>95</v>
      </c>
      <c r="AT16" s="15">
        <v>95</v>
      </c>
      <c r="AU16" s="15">
        <v>95</v>
      </c>
      <c r="AV16" s="15">
        <v>95</v>
      </c>
      <c r="AW16" s="15">
        <v>95</v>
      </c>
      <c r="AX16" s="15">
        <v>95</v>
      </c>
      <c r="AY16" s="15">
        <v>95</v>
      </c>
      <c r="AZ16" s="15">
        <v>95</v>
      </c>
      <c r="BA16" s="15">
        <v>95</v>
      </c>
      <c r="BB16" s="15">
        <v>95</v>
      </c>
      <c r="BC16" s="15">
        <v>95</v>
      </c>
      <c r="BD16" s="15">
        <v>95</v>
      </c>
      <c r="BE16" s="15">
        <v>95</v>
      </c>
      <c r="BF16" s="15">
        <v>95</v>
      </c>
      <c r="BG16" s="15">
        <v>95</v>
      </c>
      <c r="BH16" s="15">
        <v>95</v>
      </c>
      <c r="BI16" s="15">
        <v>95</v>
      </c>
      <c r="BJ16" s="15">
        <v>95</v>
      </c>
      <c r="BK16" s="15">
        <v>95</v>
      </c>
    </row>
    <row r="17" spans="2:63" ht="15" customHeight="1" x14ac:dyDescent="0.2">
      <c r="B17" s="4" t="s">
        <v>33</v>
      </c>
      <c r="C17" s="15">
        <v>95</v>
      </c>
      <c r="D17" s="15">
        <v>95</v>
      </c>
      <c r="E17" s="15">
        <v>95</v>
      </c>
      <c r="F17" s="15">
        <v>95</v>
      </c>
      <c r="G17" s="15">
        <v>95</v>
      </c>
      <c r="H17" s="15">
        <v>95</v>
      </c>
      <c r="I17" s="15">
        <v>95</v>
      </c>
      <c r="J17" s="15">
        <v>95</v>
      </c>
      <c r="K17" s="15">
        <v>95</v>
      </c>
      <c r="L17" s="15">
        <v>95</v>
      </c>
      <c r="M17" s="15">
        <v>95</v>
      </c>
      <c r="N17" s="15">
        <v>95</v>
      </c>
      <c r="O17" s="15">
        <v>95</v>
      </c>
      <c r="P17" s="15">
        <v>95</v>
      </c>
      <c r="Q17" s="15">
        <v>95</v>
      </c>
      <c r="R17" s="15">
        <v>95</v>
      </c>
      <c r="S17" s="15">
        <v>95</v>
      </c>
      <c r="T17" s="15">
        <v>95</v>
      </c>
      <c r="U17" s="15">
        <v>95</v>
      </c>
      <c r="V17" s="15">
        <v>95</v>
      </c>
      <c r="W17" s="15">
        <v>95</v>
      </c>
      <c r="X17" s="15">
        <v>95</v>
      </c>
      <c r="Y17" s="15">
        <v>95</v>
      </c>
      <c r="Z17" s="15">
        <v>95</v>
      </c>
      <c r="AA17" s="15">
        <v>95</v>
      </c>
      <c r="AB17" s="15">
        <v>95</v>
      </c>
      <c r="AC17" s="15">
        <v>95</v>
      </c>
      <c r="AD17" s="15">
        <v>95</v>
      </c>
      <c r="AE17" s="15">
        <v>95</v>
      </c>
      <c r="AF17" s="15">
        <v>95</v>
      </c>
      <c r="AG17" s="15">
        <v>95</v>
      </c>
      <c r="AH17" s="15">
        <v>95</v>
      </c>
      <c r="AI17" s="15">
        <v>95</v>
      </c>
      <c r="AJ17" s="15">
        <v>95</v>
      </c>
      <c r="AK17" s="15">
        <v>95</v>
      </c>
      <c r="AL17" s="15">
        <v>95</v>
      </c>
      <c r="AM17" s="15">
        <v>95</v>
      </c>
      <c r="AN17" s="15">
        <v>95</v>
      </c>
      <c r="AO17" s="15">
        <v>95</v>
      </c>
      <c r="AP17" s="15">
        <v>95</v>
      </c>
      <c r="AQ17" s="15">
        <v>95</v>
      </c>
      <c r="AR17" s="15">
        <v>95</v>
      </c>
      <c r="AS17" s="15">
        <v>95</v>
      </c>
      <c r="AT17" s="15">
        <v>95</v>
      </c>
      <c r="AU17" s="15">
        <v>95</v>
      </c>
      <c r="AV17" s="15">
        <v>95</v>
      </c>
      <c r="AW17" s="15">
        <v>95</v>
      </c>
      <c r="AX17" s="15">
        <v>95</v>
      </c>
      <c r="AY17" s="15">
        <v>95</v>
      </c>
      <c r="AZ17" s="15">
        <v>95</v>
      </c>
      <c r="BA17" s="15">
        <v>95</v>
      </c>
      <c r="BB17" s="15">
        <v>95</v>
      </c>
      <c r="BC17" s="15">
        <v>95</v>
      </c>
      <c r="BD17" s="15">
        <v>95</v>
      </c>
      <c r="BE17" s="15">
        <v>95</v>
      </c>
      <c r="BF17" s="15">
        <v>95</v>
      </c>
      <c r="BG17" s="15">
        <v>95</v>
      </c>
      <c r="BH17" s="15">
        <v>95</v>
      </c>
      <c r="BI17" s="15">
        <v>95</v>
      </c>
      <c r="BJ17" s="15">
        <v>95</v>
      </c>
      <c r="BK17" s="15">
        <v>95</v>
      </c>
    </row>
    <row r="18" spans="2:63" ht="15" customHeight="1" x14ac:dyDescent="0.2">
      <c r="B18" s="4" t="s">
        <v>34</v>
      </c>
      <c r="C18" s="15">
        <v>95</v>
      </c>
      <c r="D18" s="15">
        <v>95</v>
      </c>
      <c r="E18" s="15">
        <v>95</v>
      </c>
      <c r="F18" s="15">
        <v>95</v>
      </c>
      <c r="G18" s="15">
        <v>95</v>
      </c>
      <c r="H18" s="15">
        <v>95</v>
      </c>
      <c r="I18" s="15">
        <v>95</v>
      </c>
      <c r="J18" s="15">
        <v>95</v>
      </c>
      <c r="K18" s="15">
        <v>95</v>
      </c>
      <c r="L18" s="15">
        <v>95</v>
      </c>
      <c r="M18" s="15">
        <v>95</v>
      </c>
      <c r="N18" s="15">
        <v>95</v>
      </c>
      <c r="O18" s="15">
        <v>95</v>
      </c>
      <c r="P18" s="15">
        <v>95</v>
      </c>
      <c r="Q18" s="15">
        <v>95</v>
      </c>
      <c r="R18" s="15">
        <v>95</v>
      </c>
      <c r="S18" s="15">
        <v>95</v>
      </c>
      <c r="T18" s="15">
        <v>95</v>
      </c>
      <c r="U18" s="15">
        <v>95</v>
      </c>
      <c r="V18" s="15">
        <v>95</v>
      </c>
      <c r="W18" s="15">
        <v>95</v>
      </c>
      <c r="X18" s="15">
        <v>95</v>
      </c>
      <c r="Y18" s="15">
        <v>95</v>
      </c>
      <c r="Z18" s="15">
        <v>95</v>
      </c>
      <c r="AA18" s="15">
        <v>95</v>
      </c>
      <c r="AB18" s="15">
        <v>95</v>
      </c>
      <c r="AC18" s="15">
        <v>95</v>
      </c>
      <c r="AD18" s="15">
        <v>95</v>
      </c>
      <c r="AE18" s="15">
        <v>95</v>
      </c>
      <c r="AF18" s="15">
        <v>95</v>
      </c>
      <c r="AG18" s="15">
        <v>95</v>
      </c>
      <c r="AH18" s="15">
        <v>95</v>
      </c>
      <c r="AI18" s="15">
        <v>95</v>
      </c>
      <c r="AJ18" s="15">
        <v>95</v>
      </c>
      <c r="AK18" s="15">
        <v>95</v>
      </c>
      <c r="AL18" s="15">
        <v>95</v>
      </c>
      <c r="AM18" s="15">
        <v>95</v>
      </c>
      <c r="AN18" s="15">
        <v>95</v>
      </c>
      <c r="AO18" s="15">
        <v>95</v>
      </c>
      <c r="AP18" s="15">
        <v>95</v>
      </c>
      <c r="AQ18" s="15">
        <v>95</v>
      </c>
      <c r="AR18" s="15">
        <v>95</v>
      </c>
      <c r="AS18" s="15">
        <v>95</v>
      </c>
      <c r="AT18" s="15">
        <v>95</v>
      </c>
      <c r="AU18" s="15">
        <v>95</v>
      </c>
      <c r="AV18" s="15">
        <v>95</v>
      </c>
      <c r="AW18" s="15">
        <v>95</v>
      </c>
      <c r="AX18" s="15">
        <v>95</v>
      </c>
      <c r="AY18" s="15">
        <v>95</v>
      </c>
      <c r="AZ18" s="15">
        <v>95</v>
      </c>
      <c r="BA18" s="15">
        <v>95</v>
      </c>
      <c r="BB18" s="15">
        <v>95</v>
      </c>
      <c r="BC18" s="15">
        <v>95</v>
      </c>
      <c r="BD18" s="15">
        <v>95</v>
      </c>
      <c r="BE18" s="15">
        <v>95</v>
      </c>
      <c r="BF18" s="15">
        <v>95</v>
      </c>
      <c r="BG18" s="15">
        <v>95</v>
      </c>
      <c r="BH18" s="15">
        <v>95</v>
      </c>
      <c r="BI18" s="15">
        <v>95</v>
      </c>
      <c r="BJ18" s="15">
        <v>95</v>
      </c>
      <c r="BK18" s="15">
        <v>95</v>
      </c>
    </row>
    <row r="19" spans="2:63" ht="15" customHeight="1" x14ac:dyDescent="0.2">
      <c r="B19" s="4" t="s">
        <v>35</v>
      </c>
      <c r="C19" s="15">
        <v>95</v>
      </c>
      <c r="D19" s="15">
        <v>95</v>
      </c>
      <c r="E19" s="15">
        <v>95</v>
      </c>
      <c r="F19" s="15">
        <v>95</v>
      </c>
      <c r="G19" s="15">
        <v>95</v>
      </c>
      <c r="H19" s="15">
        <v>95</v>
      </c>
      <c r="I19" s="15">
        <v>95</v>
      </c>
      <c r="J19" s="15">
        <v>95</v>
      </c>
      <c r="K19" s="15">
        <v>95</v>
      </c>
      <c r="L19" s="15">
        <v>95</v>
      </c>
      <c r="M19" s="15">
        <v>95</v>
      </c>
      <c r="N19" s="15">
        <v>95</v>
      </c>
      <c r="O19" s="15">
        <v>95</v>
      </c>
      <c r="P19" s="15">
        <v>95</v>
      </c>
      <c r="Q19" s="15">
        <v>95</v>
      </c>
      <c r="R19" s="15">
        <v>95</v>
      </c>
      <c r="S19" s="15">
        <v>95</v>
      </c>
      <c r="T19" s="15">
        <v>95</v>
      </c>
      <c r="U19" s="15">
        <v>95</v>
      </c>
      <c r="V19" s="15">
        <v>95</v>
      </c>
      <c r="W19" s="15">
        <v>95</v>
      </c>
      <c r="X19" s="15">
        <v>95</v>
      </c>
      <c r="Y19" s="15">
        <v>95</v>
      </c>
      <c r="Z19" s="15">
        <v>95</v>
      </c>
      <c r="AA19" s="15">
        <v>95</v>
      </c>
      <c r="AB19" s="15">
        <v>95</v>
      </c>
      <c r="AC19" s="15">
        <v>95</v>
      </c>
      <c r="AD19" s="15">
        <v>95</v>
      </c>
      <c r="AE19" s="15">
        <v>95</v>
      </c>
      <c r="AF19" s="15">
        <v>95</v>
      </c>
      <c r="AG19" s="15">
        <v>95</v>
      </c>
      <c r="AH19" s="15">
        <v>95</v>
      </c>
      <c r="AI19" s="15">
        <v>95</v>
      </c>
      <c r="AJ19" s="15">
        <v>95</v>
      </c>
      <c r="AK19" s="15">
        <v>95</v>
      </c>
      <c r="AL19" s="15">
        <v>95</v>
      </c>
      <c r="AM19" s="15">
        <v>95</v>
      </c>
      <c r="AN19" s="15">
        <v>95</v>
      </c>
      <c r="AO19" s="15">
        <v>95</v>
      </c>
      <c r="AP19" s="15">
        <v>95</v>
      </c>
      <c r="AQ19" s="15">
        <v>95</v>
      </c>
      <c r="AR19" s="15">
        <v>95</v>
      </c>
      <c r="AS19" s="15">
        <v>95</v>
      </c>
      <c r="AT19" s="15">
        <v>95</v>
      </c>
      <c r="AU19" s="15">
        <v>95</v>
      </c>
      <c r="AV19" s="15">
        <v>95</v>
      </c>
      <c r="AW19" s="15">
        <v>95</v>
      </c>
      <c r="AX19" s="15">
        <v>95</v>
      </c>
      <c r="AY19" s="15">
        <v>95</v>
      </c>
      <c r="AZ19" s="15">
        <v>95</v>
      </c>
      <c r="BA19" s="15">
        <v>95</v>
      </c>
      <c r="BB19" s="15">
        <v>95</v>
      </c>
      <c r="BC19" s="15">
        <v>95</v>
      </c>
      <c r="BD19" s="15">
        <v>95</v>
      </c>
      <c r="BE19" s="15">
        <v>95</v>
      </c>
      <c r="BF19" s="15">
        <v>95</v>
      </c>
      <c r="BG19" s="15">
        <v>95</v>
      </c>
      <c r="BH19" s="15">
        <v>95</v>
      </c>
      <c r="BI19" s="15">
        <v>95</v>
      </c>
      <c r="BJ19" s="15">
        <v>95</v>
      </c>
      <c r="BK19" s="15">
        <v>95</v>
      </c>
    </row>
    <row r="20" spans="2:63" ht="26.25" customHeight="1" x14ac:dyDescent="0.2"/>
    <row r="21" spans="2:63" ht="15" customHeight="1" x14ac:dyDescent="0.2">
      <c r="B21" s="17" t="s">
        <v>46</v>
      </c>
      <c r="C21" s="8"/>
      <c r="D21" s="5"/>
      <c r="E21" s="5"/>
    </row>
    <row r="22" spans="2:63" s="22" customFormat="1" ht="15" customHeight="1" x14ac:dyDescent="0.2">
      <c r="B22" s="18"/>
      <c r="C22" s="19"/>
      <c r="D22" s="20"/>
      <c r="E22" s="20"/>
      <c r="F22" s="21"/>
      <c r="G22" s="21"/>
    </row>
    <row r="23" spans="2:63" ht="15" customHeight="1" x14ac:dyDescent="0.2">
      <c r="B23" s="4" t="s">
        <v>32</v>
      </c>
      <c r="C23" s="15">
        <v>100</v>
      </c>
      <c r="D23" s="15">
        <v>100</v>
      </c>
      <c r="E23" s="15">
        <v>100</v>
      </c>
      <c r="F23" s="15">
        <v>100</v>
      </c>
      <c r="G23" s="15">
        <v>100</v>
      </c>
      <c r="H23" s="15">
        <v>100</v>
      </c>
      <c r="I23" s="15">
        <v>100</v>
      </c>
      <c r="J23" s="15">
        <v>100</v>
      </c>
      <c r="K23" s="15">
        <v>100</v>
      </c>
      <c r="L23" s="15">
        <v>100</v>
      </c>
      <c r="M23" s="15">
        <v>100</v>
      </c>
      <c r="N23" s="15">
        <v>100</v>
      </c>
      <c r="O23" s="15">
        <v>100</v>
      </c>
      <c r="P23" s="15">
        <v>100</v>
      </c>
      <c r="Q23" s="15">
        <v>100</v>
      </c>
      <c r="R23" s="15">
        <v>100</v>
      </c>
      <c r="S23" s="15">
        <v>100</v>
      </c>
      <c r="T23" s="15">
        <v>100</v>
      </c>
      <c r="U23" s="15">
        <v>100</v>
      </c>
      <c r="V23" s="15">
        <v>100</v>
      </c>
      <c r="W23" s="15">
        <v>100</v>
      </c>
      <c r="X23" s="15">
        <v>100</v>
      </c>
      <c r="Y23" s="15">
        <v>100</v>
      </c>
      <c r="Z23" s="15">
        <v>100</v>
      </c>
      <c r="AA23" s="15">
        <v>100</v>
      </c>
      <c r="AB23" s="15">
        <v>100</v>
      </c>
      <c r="AC23" s="15">
        <v>100</v>
      </c>
      <c r="AD23" s="15">
        <v>100</v>
      </c>
      <c r="AE23" s="15">
        <v>100</v>
      </c>
      <c r="AF23" s="15">
        <v>100</v>
      </c>
      <c r="AG23" s="15">
        <v>100</v>
      </c>
      <c r="AH23" s="15">
        <v>100</v>
      </c>
      <c r="AI23" s="15">
        <v>100</v>
      </c>
      <c r="AJ23" s="15">
        <v>100</v>
      </c>
      <c r="AK23" s="15">
        <v>100</v>
      </c>
      <c r="AL23" s="15">
        <v>100</v>
      </c>
      <c r="AM23" s="15">
        <v>100</v>
      </c>
      <c r="AN23" s="15">
        <v>100</v>
      </c>
      <c r="AO23" s="15">
        <v>100</v>
      </c>
      <c r="AP23" s="15">
        <v>100</v>
      </c>
      <c r="AQ23" s="15">
        <v>100</v>
      </c>
      <c r="AR23" s="15">
        <v>100</v>
      </c>
      <c r="AS23" s="15">
        <v>100</v>
      </c>
      <c r="AT23" s="15">
        <v>100</v>
      </c>
      <c r="AU23" s="15">
        <v>100</v>
      </c>
      <c r="AV23" s="15">
        <v>100</v>
      </c>
      <c r="AW23" s="15">
        <v>100</v>
      </c>
      <c r="AX23" s="15">
        <v>100</v>
      </c>
      <c r="AY23" s="15">
        <v>100</v>
      </c>
      <c r="AZ23" s="15">
        <v>100</v>
      </c>
      <c r="BA23" s="15">
        <v>100</v>
      </c>
      <c r="BB23" s="15">
        <v>100</v>
      </c>
      <c r="BC23" s="15">
        <v>100</v>
      </c>
      <c r="BD23" s="15">
        <v>100</v>
      </c>
      <c r="BE23" s="15">
        <v>100</v>
      </c>
      <c r="BF23" s="15">
        <v>100</v>
      </c>
      <c r="BG23" s="15">
        <v>100</v>
      </c>
      <c r="BH23" s="15">
        <v>100</v>
      </c>
      <c r="BI23" s="15">
        <v>100</v>
      </c>
      <c r="BJ23" s="15">
        <v>100</v>
      </c>
      <c r="BK23" s="15">
        <v>100</v>
      </c>
    </row>
    <row r="24" spans="2:63" ht="15" customHeight="1" x14ac:dyDescent="0.2">
      <c r="B24" s="4" t="s">
        <v>33</v>
      </c>
      <c r="C24" s="15">
        <v>100</v>
      </c>
      <c r="D24" s="15">
        <v>100</v>
      </c>
      <c r="E24" s="15">
        <v>100</v>
      </c>
      <c r="F24" s="15">
        <v>100</v>
      </c>
      <c r="G24" s="15">
        <v>100</v>
      </c>
      <c r="H24" s="15">
        <v>100</v>
      </c>
      <c r="I24" s="15">
        <v>100</v>
      </c>
      <c r="J24" s="15">
        <v>100</v>
      </c>
      <c r="K24" s="15">
        <v>100</v>
      </c>
      <c r="L24" s="15">
        <v>100</v>
      </c>
      <c r="M24" s="15">
        <v>100</v>
      </c>
      <c r="N24" s="15">
        <v>100</v>
      </c>
      <c r="O24" s="15">
        <v>100</v>
      </c>
      <c r="P24" s="15">
        <v>100</v>
      </c>
      <c r="Q24" s="15">
        <v>100</v>
      </c>
      <c r="R24" s="15">
        <v>100</v>
      </c>
      <c r="S24" s="15">
        <v>100</v>
      </c>
      <c r="T24" s="15">
        <v>100</v>
      </c>
      <c r="U24" s="15">
        <v>100</v>
      </c>
      <c r="V24" s="15">
        <v>100</v>
      </c>
      <c r="W24" s="15">
        <v>100</v>
      </c>
      <c r="X24" s="15">
        <v>100</v>
      </c>
      <c r="Y24" s="15">
        <v>100</v>
      </c>
      <c r="Z24" s="15">
        <v>100</v>
      </c>
      <c r="AA24" s="15">
        <v>100</v>
      </c>
      <c r="AB24" s="15">
        <v>100</v>
      </c>
      <c r="AC24" s="15">
        <v>100</v>
      </c>
      <c r="AD24" s="15">
        <v>100</v>
      </c>
      <c r="AE24" s="15">
        <v>100</v>
      </c>
      <c r="AF24" s="15">
        <v>100</v>
      </c>
      <c r="AG24" s="15">
        <v>100</v>
      </c>
      <c r="AH24" s="15">
        <v>100</v>
      </c>
      <c r="AI24" s="15">
        <v>100</v>
      </c>
      <c r="AJ24" s="15">
        <v>100</v>
      </c>
      <c r="AK24" s="15">
        <v>100</v>
      </c>
      <c r="AL24" s="15">
        <v>100</v>
      </c>
      <c r="AM24" s="15">
        <v>100</v>
      </c>
      <c r="AN24" s="15">
        <v>100</v>
      </c>
      <c r="AO24" s="15">
        <v>100</v>
      </c>
      <c r="AP24" s="15">
        <v>100</v>
      </c>
      <c r="AQ24" s="15">
        <v>100</v>
      </c>
      <c r="AR24" s="15">
        <v>100</v>
      </c>
      <c r="AS24" s="15">
        <v>100</v>
      </c>
      <c r="AT24" s="15">
        <v>100</v>
      </c>
      <c r="AU24" s="15">
        <v>100</v>
      </c>
      <c r="AV24" s="15">
        <v>100</v>
      </c>
      <c r="AW24" s="15">
        <v>100</v>
      </c>
      <c r="AX24" s="15">
        <v>100</v>
      </c>
      <c r="AY24" s="15">
        <v>100</v>
      </c>
      <c r="AZ24" s="15">
        <v>100</v>
      </c>
      <c r="BA24" s="15">
        <v>100</v>
      </c>
      <c r="BB24" s="15">
        <v>100</v>
      </c>
      <c r="BC24" s="15">
        <v>100</v>
      </c>
      <c r="BD24" s="15">
        <v>100</v>
      </c>
      <c r="BE24" s="15">
        <v>100</v>
      </c>
      <c r="BF24" s="15">
        <v>100</v>
      </c>
      <c r="BG24" s="15">
        <v>100</v>
      </c>
      <c r="BH24" s="15">
        <v>100</v>
      </c>
      <c r="BI24" s="15">
        <v>100</v>
      </c>
      <c r="BJ24" s="15">
        <v>100</v>
      </c>
      <c r="BK24" s="15">
        <v>100</v>
      </c>
    </row>
    <row r="25" spans="2:63" ht="15" customHeight="1" x14ac:dyDescent="0.2">
      <c r="B25" s="4" t="s">
        <v>34</v>
      </c>
      <c r="C25" s="15">
        <v>100</v>
      </c>
      <c r="D25" s="15">
        <v>100</v>
      </c>
      <c r="E25" s="15">
        <v>100</v>
      </c>
      <c r="F25" s="15">
        <v>100</v>
      </c>
      <c r="G25" s="15">
        <v>100</v>
      </c>
      <c r="H25" s="15">
        <v>100</v>
      </c>
      <c r="I25" s="15">
        <v>100</v>
      </c>
      <c r="J25" s="15">
        <v>100</v>
      </c>
      <c r="K25" s="15">
        <v>100</v>
      </c>
      <c r="L25" s="15">
        <v>100</v>
      </c>
      <c r="M25" s="15">
        <v>100</v>
      </c>
      <c r="N25" s="15">
        <v>100</v>
      </c>
      <c r="O25" s="15">
        <v>100</v>
      </c>
      <c r="P25" s="15">
        <v>100</v>
      </c>
      <c r="Q25" s="15">
        <v>100</v>
      </c>
      <c r="R25" s="15">
        <v>100</v>
      </c>
      <c r="S25" s="15">
        <v>100</v>
      </c>
      <c r="T25" s="15">
        <v>100</v>
      </c>
      <c r="U25" s="15">
        <v>100</v>
      </c>
      <c r="V25" s="15">
        <v>100</v>
      </c>
      <c r="W25" s="15">
        <v>100</v>
      </c>
      <c r="X25" s="15">
        <v>100</v>
      </c>
      <c r="Y25" s="15">
        <v>100</v>
      </c>
      <c r="Z25" s="15">
        <v>100</v>
      </c>
      <c r="AA25" s="15">
        <v>100</v>
      </c>
      <c r="AB25" s="15">
        <v>100</v>
      </c>
      <c r="AC25" s="15">
        <v>100</v>
      </c>
      <c r="AD25" s="15">
        <v>100</v>
      </c>
      <c r="AE25" s="15">
        <v>100</v>
      </c>
      <c r="AF25" s="15">
        <v>100</v>
      </c>
      <c r="AG25" s="15">
        <v>100</v>
      </c>
      <c r="AH25" s="15">
        <v>100</v>
      </c>
      <c r="AI25" s="15">
        <v>100</v>
      </c>
      <c r="AJ25" s="15">
        <v>100</v>
      </c>
      <c r="AK25" s="15">
        <v>100</v>
      </c>
      <c r="AL25" s="15">
        <v>100</v>
      </c>
      <c r="AM25" s="15">
        <v>100</v>
      </c>
      <c r="AN25" s="15">
        <v>100</v>
      </c>
      <c r="AO25" s="15">
        <v>100</v>
      </c>
      <c r="AP25" s="15">
        <v>100</v>
      </c>
      <c r="AQ25" s="15">
        <v>100</v>
      </c>
      <c r="AR25" s="15">
        <v>100</v>
      </c>
      <c r="AS25" s="15">
        <v>100</v>
      </c>
      <c r="AT25" s="15">
        <v>100</v>
      </c>
      <c r="AU25" s="15">
        <v>100</v>
      </c>
      <c r="AV25" s="15">
        <v>100</v>
      </c>
      <c r="AW25" s="15">
        <v>100</v>
      </c>
      <c r="AX25" s="15">
        <v>100</v>
      </c>
      <c r="AY25" s="15">
        <v>100</v>
      </c>
      <c r="AZ25" s="15">
        <v>100</v>
      </c>
      <c r="BA25" s="15">
        <v>100</v>
      </c>
      <c r="BB25" s="15">
        <v>100</v>
      </c>
      <c r="BC25" s="15">
        <v>100</v>
      </c>
      <c r="BD25" s="15">
        <v>100</v>
      </c>
      <c r="BE25" s="15">
        <v>100</v>
      </c>
      <c r="BF25" s="15">
        <v>100</v>
      </c>
      <c r="BG25" s="15">
        <v>100</v>
      </c>
      <c r="BH25" s="15">
        <v>100</v>
      </c>
      <c r="BI25" s="15">
        <v>100</v>
      </c>
      <c r="BJ25" s="15">
        <v>100</v>
      </c>
      <c r="BK25" s="15">
        <v>100</v>
      </c>
    </row>
    <row r="26" spans="2:63" ht="15" customHeight="1" x14ac:dyDescent="0.2">
      <c r="B26" s="4" t="s">
        <v>35</v>
      </c>
      <c r="C26" s="15">
        <v>100</v>
      </c>
      <c r="D26" s="15">
        <v>100</v>
      </c>
      <c r="E26" s="15">
        <v>100</v>
      </c>
      <c r="F26" s="15">
        <v>100</v>
      </c>
      <c r="G26" s="15">
        <v>100</v>
      </c>
      <c r="H26" s="15">
        <v>100</v>
      </c>
      <c r="I26" s="15">
        <v>100</v>
      </c>
      <c r="J26" s="15">
        <v>100</v>
      </c>
      <c r="K26" s="15">
        <v>100</v>
      </c>
      <c r="L26" s="15">
        <v>100</v>
      </c>
      <c r="M26" s="15">
        <v>100</v>
      </c>
      <c r="N26" s="15">
        <v>100</v>
      </c>
      <c r="O26" s="15">
        <v>100</v>
      </c>
      <c r="P26" s="15">
        <v>100</v>
      </c>
      <c r="Q26" s="15">
        <v>100</v>
      </c>
      <c r="R26" s="15">
        <v>100</v>
      </c>
      <c r="S26" s="15">
        <v>100</v>
      </c>
      <c r="T26" s="15">
        <v>100</v>
      </c>
      <c r="U26" s="15">
        <v>100</v>
      </c>
      <c r="V26" s="15">
        <v>100</v>
      </c>
      <c r="W26" s="15">
        <v>100</v>
      </c>
      <c r="X26" s="15">
        <v>100</v>
      </c>
      <c r="Y26" s="15">
        <v>100</v>
      </c>
      <c r="Z26" s="15">
        <v>100</v>
      </c>
      <c r="AA26" s="15">
        <v>100</v>
      </c>
      <c r="AB26" s="15">
        <v>100</v>
      </c>
      <c r="AC26" s="15">
        <v>100</v>
      </c>
      <c r="AD26" s="15">
        <v>100</v>
      </c>
      <c r="AE26" s="15">
        <v>100</v>
      </c>
      <c r="AF26" s="15">
        <v>100</v>
      </c>
      <c r="AG26" s="15">
        <v>100</v>
      </c>
      <c r="AH26" s="15">
        <v>100</v>
      </c>
      <c r="AI26" s="15">
        <v>100</v>
      </c>
      <c r="AJ26" s="15">
        <v>100</v>
      </c>
      <c r="AK26" s="15">
        <v>100</v>
      </c>
      <c r="AL26" s="15">
        <v>100</v>
      </c>
      <c r="AM26" s="15">
        <v>100</v>
      </c>
      <c r="AN26" s="15">
        <v>100</v>
      </c>
      <c r="AO26" s="15">
        <v>100</v>
      </c>
      <c r="AP26" s="15">
        <v>100</v>
      </c>
      <c r="AQ26" s="15">
        <v>100</v>
      </c>
      <c r="AR26" s="15">
        <v>100</v>
      </c>
      <c r="AS26" s="15">
        <v>100</v>
      </c>
      <c r="AT26" s="15">
        <v>100</v>
      </c>
      <c r="AU26" s="15">
        <v>100</v>
      </c>
      <c r="AV26" s="15">
        <v>100</v>
      </c>
      <c r="AW26" s="15">
        <v>100</v>
      </c>
      <c r="AX26" s="15">
        <v>100</v>
      </c>
      <c r="AY26" s="15">
        <v>100</v>
      </c>
      <c r="AZ26" s="15">
        <v>100</v>
      </c>
      <c r="BA26" s="15">
        <v>100</v>
      </c>
      <c r="BB26" s="15">
        <v>100</v>
      </c>
      <c r="BC26" s="15">
        <v>100</v>
      </c>
      <c r="BD26" s="15">
        <v>100</v>
      </c>
      <c r="BE26" s="15">
        <v>100</v>
      </c>
      <c r="BF26" s="15">
        <v>100</v>
      </c>
      <c r="BG26" s="15">
        <v>100</v>
      </c>
      <c r="BH26" s="15">
        <v>100</v>
      </c>
      <c r="BI26" s="15">
        <v>100</v>
      </c>
      <c r="BJ26" s="15">
        <v>100</v>
      </c>
      <c r="BK26" s="15">
        <v>100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Vehicles</vt:lpstr>
      <vt:lpstr>Registrations</vt:lpstr>
      <vt:lpstr>EoL</vt:lpstr>
      <vt:lpstr>Recycling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2025-08-11T15:32:20Z</dcterms:modified>
</cp:coreProperties>
</file>